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cuments\ATRES_INGENIERIA\DESARROLLOS\ANALISIS Y TABLAS\"/>
    </mc:Choice>
  </mc:AlternateContent>
  <xr:revisionPtr revIDLastSave="0" documentId="13_ncr:1_{2BF26F0B-FB65-4953-A36F-42AEAAF12029}" xr6:coauthVersionLast="47" xr6:coauthVersionMax="47" xr10:uidLastSave="{00000000-0000-0000-0000-000000000000}"/>
  <bookViews>
    <workbookView xWindow="-28920" yWindow="-120" windowWidth="29040" windowHeight="15720" tabRatio="873" activeTab="3" xr2:uid="{00000000-000D-0000-FFFF-FFFF00000000}"/>
  </bookViews>
  <sheets>
    <sheet name="TABLAS" sheetId="22" r:id="rId1"/>
    <sheet name="ESPECTRO NSR-10" sheetId="17" r:id="rId2"/>
    <sheet name="Análisis de Cargas" sheetId="20" r:id="rId3"/>
    <sheet name="Análisis" sheetId="11" r:id="rId4"/>
  </sheets>
  <externalReferences>
    <externalReference r:id="rId5"/>
    <externalReference r:id="rId6"/>
    <externalReference r:id="rId7"/>
  </externalReferences>
  <definedNames>
    <definedName name="_xlnm._FilterDatabase" localSheetId="0" hidden="1">TABLAS!$A$1:$G$1124</definedName>
    <definedName name="Aa">'[1]ESPECTRO DE DISEÑO'!$C$7</definedName>
    <definedName name="Almacenamiento">TABLAS!$J$38:$J$39</definedName>
    <definedName name="_xlnm.Print_Area" localSheetId="3">Análisis!$A$1:$I$843</definedName>
    <definedName name="Av">'[1]ESPECTRO DE DISEÑO'!$C$8</definedName>
    <definedName name="Crítico">#REF!</definedName>
    <definedName name="critico2">#REF!</definedName>
    <definedName name="Datos">#REF!</definedName>
    <definedName name="Educativos">TABLAS!$J$31:$J$34</definedName>
    <definedName name="Fa">TABLAS!#REF!</definedName>
    <definedName name="Fv">TABLAS!#REF!</definedName>
    <definedName name="Garajes">TABLAS!$J$40:$J$41</definedName>
    <definedName name="hp">'ESPECTRO NSR-10'!$C$29</definedName>
    <definedName name="K">'[2]ESPECTRO DE DISEÑO'!$B$29</definedName>
    <definedName name="map">[2]MASA!$H$22</definedName>
    <definedName name="mt">[2]MASA!$H$26</definedName>
    <definedName name="MUNICIPIOS">TABLAS!$A$2:$A$1124</definedName>
    <definedName name="np">'ESPECTRO NSR-10'!$C$31</definedName>
    <definedName name="Npisos">'[2]ESPECTRO DE DISEÑO'!$B$21</definedName>
    <definedName name="Oficinas">TABLAS!$J$28:$J$30</definedName>
    <definedName name="pConcreto">[2]EDIFICIO!$G$16</definedName>
    <definedName name="Residencial">TABLAS!$J$35:$J$37</definedName>
    <definedName name="Reuniones">TABLAS!$J$23:$J$27</definedName>
    <definedName name="Sa">'[2]ESPECTRO DE DISEÑO'!$B$28</definedName>
    <definedName name="SISTEMAS" localSheetId="0">TABLAS!$N$2:$N$5</definedName>
    <definedName name="SISTEMAS">[3]TABLAS!$M$2:$M$5</definedName>
    <definedName name="SUELO">TABLAS!#REF!</definedName>
    <definedName name="Ta">'[1]ESPECTRO DE DISEÑO'!$C$25</definedName>
    <definedName name="TipoSuelo">'[1]ESPECTRO DE DISEÑO'!$C$10</definedName>
    <definedName name="USO">TABLAS!#REF!</definedName>
    <definedName name="vS">[2]FHE!$C$12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3" i="11" l="1"/>
  <c r="B228" i="11"/>
  <c r="B87" i="20"/>
  <c r="K16" i="22"/>
  <c r="K14" i="22"/>
  <c r="C706" i="11" l="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05" i="11"/>
  <c r="C195" i="20"/>
  <c r="C183" i="20"/>
  <c r="C177" i="20"/>
  <c r="C179" i="20" s="1"/>
  <c r="C180" i="20" s="1"/>
  <c r="C166" i="20"/>
  <c r="J165" i="20"/>
  <c r="J166" i="20" s="1"/>
  <c r="C154" i="20"/>
  <c r="J152" i="20"/>
  <c r="J159" i="20" s="1"/>
  <c r="J160" i="20" s="1"/>
  <c r="C148" i="20"/>
  <c r="C150" i="20" s="1"/>
  <c r="C151" i="20" s="1"/>
  <c r="C160" i="20" s="1"/>
  <c r="Q147" i="20"/>
  <c r="Q146" i="20"/>
  <c r="Q144" i="20"/>
  <c r="Q143" i="20"/>
  <c r="B51" i="20"/>
  <c r="B86" i="20"/>
  <c r="D86" i="20" s="1"/>
  <c r="E51" i="17"/>
  <c r="H187" i="11"/>
  <c r="B736" i="11"/>
  <c r="B737" i="11"/>
  <c r="D737" i="11"/>
  <c r="C736" i="11"/>
  <c r="C737" i="11"/>
  <c r="C738" i="11"/>
  <c r="C739" i="11"/>
  <c r="C189" i="20" l="1"/>
  <c r="I751" i="11" l="1"/>
  <c r="H751" i="11"/>
  <c r="E751" i="11"/>
  <c r="D751" i="11"/>
  <c r="C751" i="11"/>
  <c r="B751" i="11"/>
  <c r="A751" i="11"/>
  <c r="I750" i="11"/>
  <c r="H750" i="11"/>
  <c r="E750" i="11"/>
  <c r="D750" i="11"/>
  <c r="C750" i="11"/>
  <c r="B750" i="11"/>
  <c r="A750" i="11"/>
  <c r="I749" i="11"/>
  <c r="H749" i="11"/>
  <c r="E749" i="11"/>
  <c r="D749" i="11"/>
  <c r="C749" i="11"/>
  <c r="B749" i="11"/>
  <c r="A749" i="11"/>
  <c r="I748" i="11"/>
  <c r="H748" i="11"/>
  <c r="E748" i="11"/>
  <c r="D748" i="11"/>
  <c r="C748" i="11"/>
  <c r="B748" i="11"/>
  <c r="A748" i="11"/>
  <c r="I747" i="11"/>
  <c r="H747" i="11"/>
  <c r="E747" i="11"/>
  <c r="D747" i="11"/>
  <c r="C747" i="11"/>
  <c r="B747" i="11"/>
  <c r="A747" i="11"/>
  <c r="I746" i="11"/>
  <c r="H746" i="11"/>
  <c r="E746" i="11"/>
  <c r="D746" i="11"/>
  <c r="C746" i="11"/>
  <c r="B746" i="11"/>
  <c r="A746" i="11"/>
  <c r="I745" i="11"/>
  <c r="H745" i="11"/>
  <c r="E745" i="11"/>
  <c r="D745" i="11"/>
  <c r="C745" i="11"/>
  <c r="B745" i="11"/>
  <c r="A745" i="11"/>
  <c r="I744" i="11"/>
  <c r="H744" i="11"/>
  <c r="E744" i="11"/>
  <c r="D744" i="11"/>
  <c r="C744" i="11"/>
  <c r="B744" i="11"/>
  <c r="A744" i="11"/>
  <c r="I743" i="11"/>
  <c r="H743" i="11"/>
  <c r="E743" i="11"/>
  <c r="D743" i="11"/>
  <c r="C743" i="11"/>
  <c r="B743" i="11"/>
  <c r="A743" i="11"/>
  <c r="I742" i="11"/>
  <c r="H742" i="11"/>
  <c r="E742" i="11"/>
  <c r="D742" i="11"/>
  <c r="C742" i="11"/>
  <c r="B742" i="11"/>
  <c r="A742" i="11"/>
  <c r="I741" i="11"/>
  <c r="H741" i="11"/>
  <c r="E741" i="11"/>
  <c r="D741" i="11"/>
  <c r="C741" i="11"/>
  <c r="B741" i="11"/>
  <c r="A741" i="11"/>
  <c r="I740" i="11"/>
  <c r="H740" i="11"/>
  <c r="E740" i="11"/>
  <c r="D740" i="11"/>
  <c r="C740" i="11"/>
  <c r="B740" i="11"/>
  <c r="A740" i="11"/>
  <c r="I739" i="11"/>
  <c r="H739" i="11"/>
  <c r="E739" i="11"/>
  <c r="D739" i="11"/>
  <c r="B739" i="11"/>
  <c r="A739" i="11"/>
  <c r="I738" i="11"/>
  <c r="H738" i="11"/>
  <c r="E738" i="11"/>
  <c r="D738" i="11"/>
  <c r="B738" i="11"/>
  <c r="A738" i="11"/>
  <c r="I737" i="11"/>
  <c r="H737" i="11"/>
  <c r="E737" i="11"/>
  <c r="A737" i="11"/>
  <c r="I736" i="11"/>
  <c r="H736" i="11"/>
  <c r="E736" i="11"/>
  <c r="D736" i="11"/>
  <c r="G736" i="11" l="1"/>
  <c r="G750" i="11"/>
  <c r="J738" i="11"/>
  <c r="J742" i="11"/>
  <c r="G737" i="11"/>
  <c r="G748" i="11"/>
  <c r="J736" i="11"/>
  <c r="J748" i="11"/>
  <c r="G739" i="11"/>
  <c r="G744" i="11"/>
  <c r="J746" i="11"/>
  <c r="G745" i="11"/>
  <c r="G740" i="11"/>
  <c r="G749" i="11"/>
  <c r="J740" i="11"/>
  <c r="J737" i="11"/>
  <c r="G741" i="11"/>
  <c r="J749" i="11"/>
  <c r="J743" i="11"/>
  <c r="J741" i="11"/>
  <c r="J747" i="11"/>
  <c r="J745" i="11"/>
  <c r="J744" i="11"/>
  <c r="G743" i="11"/>
  <c r="G738" i="11"/>
  <c r="J739" i="11"/>
  <c r="G742" i="11"/>
  <c r="J750" i="11"/>
  <c r="G747" i="11"/>
  <c r="G746" i="11"/>
  <c r="C756" i="11" l="1"/>
  <c r="C758" i="11" s="1"/>
  <c r="D756" i="11"/>
  <c r="D760" i="11" s="1"/>
  <c r="D758" i="11" l="1"/>
  <c r="C760" i="11"/>
  <c r="B96" i="20" l="1" a="1"/>
  <c r="B96" i="20" s="1"/>
  <c r="B97" i="20" a="1"/>
  <c r="B97" i="20" s="1"/>
  <c r="B95" i="20" a="1"/>
  <c r="B95" i="20" s="1"/>
  <c r="K43" i="22" a="1"/>
  <c r="K43" i="22" s="1"/>
  <c r="O6" i="22"/>
  <c r="P6" i="22"/>
  <c r="V8" i="22"/>
  <c r="X8" i="22"/>
  <c r="Z8" i="22"/>
  <c r="B64" i="20"/>
  <c r="B63" i="20"/>
  <c r="B60" i="20"/>
  <c r="B59" i="20"/>
  <c r="K19" i="22"/>
  <c r="K18" i="22"/>
  <c r="B80" i="20" s="1"/>
  <c r="K17" i="22"/>
  <c r="K15" i="22"/>
  <c r="K13" i="22"/>
  <c r="V20" i="22"/>
  <c r="X20" i="22"/>
  <c r="Z20" i="22"/>
  <c r="AB20" i="22"/>
  <c r="B315" i="11"/>
  <c r="B314" i="11"/>
  <c r="I11" i="17"/>
  <c r="E104" i="11" s="1"/>
  <c r="I8" i="17"/>
  <c r="E103" i="11" s="1"/>
  <c r="A579" i="11" s="1"/>
  <c r="D100" i="11"/>
  <c r="C558" i="11"/>
  <c r="E132" i="11"/>
  <c r="B579" i="11" s="1"/>
  <c r="E137" i="11"/>
  <c r="B262" i="11"/>
  <c r="B268" i="11" s="1"/>
  <c r="E385" i="11"/>
  <c r="D625" i="11"/>
  <c r="F625" i="11" s="1"/>
  <c r="E625" i="11"/>
  <c r="G625" i="11" s="1"/>
  <c r="D626" i="11"/>
  <c r="F626" i="11" s="1"/>
  <c r="E626" i="11"/>
  <c r="G626" i="11" s="1"/>
  <c r="D627" i="11"/>
  <c r="F627" i="11" s="1"/>
  <c r="E627" i="11"/>
  <c r="G627" i="11" s="1"/>
  <c r="D628" i="11"/>
  <c r="F628" i="11" s="1"/>
  <c r="E628" i="11"/>
  <c r="G628" i="11" s="1"/>
  <c r="D629" i="11"/>
  <c r="F629" i="11" s="1"/>
  <c r="E629" i="11"/>
  <c r="G629" i="11" s="1"/>
  <c r="D630" i="11"/>
  <c r="F630" i="11" s="1"/>
  <c r="E630" i="11"/>
  <c r="G630" i="11" s="1"/>
  <c r="D631" i="11"/>
  <c r="F631" i="11" s="1"/>
  <c r="E631" i="11"/>
  <c r="G631" i="11" s="1"/>
  <c r="D632" i="11"/>
  <c r="F632" i="11" s="1"/>
  <c r="E632" i="11"/>
  <c r="G632" i="11" s="1"/>
  <c r="D633" i="11"/>
  <c r="F633" i="11" s="1"/>
  <c r="E633" i="11"/>
  <c r="G633" i="11" s="1"/>
  <c r="D634" i="11"/>
  <c r="F634" i="11" s="1"/>
  <c r="E634" i="11"/>
  <c r="G634" i="11" s="1"/>
  <c r="D635" i="11"/>
  <c r="F635" i="11" s="1"/>
  <c r="E635" i="11"/>
  <c r="G635" i="11" s="1"/>
  <c r="D636" i="11"/>
  <c r="F636" i="11" s="1"/>
  <c r="E636" i="11"/>
  <c r="G636" i="11" s="1"/>
  <c r="D637" i="11"/>
  <c r="F637" i="11" s="1"/>
  <c r="E637" i="11"/>
  <c r="G637" i="11" s="1"/>
  <c r="G21" i="11"/>
  <c r="C7" i="11"/>
  <c r="E49" i="17"/>
  <c r="B261" i="11" s="1"/>
  <c r="B267" i="11" s="1"/>
  <c r="E48" i="17"/>
  <c r="B260" i="11" s="1"/>
  <c r="B266" i="11" s="1"/>
  <c r="E24" i="17"/>
  <c r="H23" i="11" s="1"/>
  <c r="E21" i="17"/>
  <c r="D9" i="11" s="1"/>
  <c r="D18" i="17"/>
  <c r="C8" i="11" s="1"/>
  <c r="I111" i="20"/>
  <c r="E112" i="20"/>
  <c r="B113" i="20"/>
  <c r="B114" i="20" s="1"/>
  <c r="F118" i="20"/>
  <c r="F119" i="20"/>
  <c r="B72" i="20" l="1"/>
  <c r="B74" i="20"/>
  <c r="B73" i="20"/>
  <c r="B79" i="20"/>
  <c r="B71" i="20"/>
  <c r="B68" i="20"/>
  <c r="B78" i="20"/>
  <c r="B119" i="20"/>
  <c r="E387" i="11"/>
  <c r="B253" i="11"/>
  <c r="B254" i="11"/>
  <c r="D10" i="11"/>
  <c r="B255" i="11" l="1"/>
  <c r="E624" i="11" l="1"/>
  <c r="G624" i="11" s="1"/>
  <c r="C647" i="11"/>
  <c r="C649" i="11" s="1"/>
  <c r="D624" i="11"/>
  <c r="F624" i="11" s="1"/>
  <c r="E22" i="20" l="1"/>
  <c r="E20" i="20"/>
  <c r="E18" i="20"/>
  <c r="E16" i="20"/>
  <c r="E14" i="20"/>
  <c r="E12" i="20"/>
  <c r="E10" i="20"/>
  <c r="E8" i="20"/>
  <c r="E4" i="20"/>
  <c r="D7" i="20"/>
  <c r="A55" i="11" l="1"/>
  <c r="A54" i="11"/>
  <c r="G189" i="11"/>
  <c r="D579" i="11" s="1"/>
  <c r="E52" i="17" l="1"/>
  <c r="B548" i="11" l="1"/>
  <c r="C565" i="11" s="1"/>
  <c r="D600" i="11" l="1"/>
  <c r="B61" i="11"/>
  <c r="G249" i="11" l="1"/>
  <c r="I249" i="11"/>
  <c r="J249" i="11"/>
  <c r="G247" i="11" l="1"/>
  <c r="I247" i="11"/>
  <c r="G248" i="11"/>
  <c r="I248" i="11"/>
  <c r="B235" i="11" l="1"/>
  <c r="J247" i="11" l="1"/>
  <c r="B263" i="11" l="1"/>
  <c r="B269" i="11" s="1"/>
  <c r="C574" i="11" l="1"/>
  <c r="G194" i="11" l="1"/>
  <c r="C581" i="11" s="1"/>
  <c r="G304" i="11" l="1"/>
  <c r="G303" i="11"/>
  <c r="J248" i="11" l="1"/>
  <c r="B277" i="11" s="1"/>
  <c r="B278" i="11" l="1"/>
  <c r="D558" i="11"/>
  <c r="D557" i="11"/>
  <c r="C557" i="11"/>
  <c r="B287" i="11" l="1"/>
  <c r="B286" i="11"/>
  <c r="A287" i="11"/>
  <c r="A295" i="11" s="1"/>
  <c r="A286" i="11"/>
  <c r="A294" i="11" s="1"/>
  <c r="A314" i="11" s="1"/>
  <c r="D565" i="11" s="1"/>
  <c r="A304" i="11" l="1"/>
  <c r="A315" i="11"/>
  <c r="G314" i="11"/>
  <c r="A303" i="11"/>
  <c r="G301" i="11"/>
  <c r="G315" i="11"/>
  <c r="A301" i="11"/>
  <c r="A300" i="11"/>
  <c r="G300" i="11"/>
  <c r="H192" i="11" l="1"/>
  <c r="D601" i="11" l="1"/>
  <c r="B549" i="11" l="1"/>
  <c r="C566" i="11" s="1"/>
  <c r="A536" i="11"/>
  <c r="A535" i="11" l="1"/>
  <c r="A549" i="11" l="1"/>
  <c r="B566" i="11" s="1"/>
  <c r="A594" i="11" s="1"/>
  <c r="A548" i="11"/>
  <c r="B565" i="11" s="1"/>
  <c r="A584" i="11"/>
  <c r="C575" i="11"/>
  <c r="E388" i="11"/>
  <c r="C333" i="11"/>
  <c r="A333" i="11"/>
  <c r="B334" i="11"/>
  <c r="C334" i="11" s="1"/>
  <c r="A298" i="11"/>
  <c r="A297" i="11"/>
  <c r="F183" i="11"/>
  <c r="F181" i="11"/>
  <c r="C579" i="11"/>
  <c r="B584" i="11"/>
  <c r="D106" i="11"/>
  <c r="D105" i="11"/>
  <c r="E9" i="11"/>
  <c r="E10" i="11"/>
  <c r="A21" i="11"/>
  <c r="A22" i="11"/>
  <c r="G22" i="11"/>
  <c r="A23" i="11"/>
  <c r="G23" i="11"/>
  <c r="A24" i="11"/>
  <c r="C24" i="11"/>
  <c r="A46" i="11"/>
  <c r="F46" i="11"/>
  <c r="A49" i="11"/>
  <c r="B49" i="11"/>
  <c r="A52" i="11"/>
  <c r="B52" i="11"/>
  <c r="H15" i="17"/>
  <c r="G24" i="11" s="1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C584" i="11" l="1"/>
  <c r="E579" i="11"/>
  <c r="A593" i="11"/>
  <c r="A596" i="11" s="1"/>
  <c r="A597" i="11"/>
  <c r="D559" i="11"/>
  <c r="E562" i="11" s="1"/>
  <c r="E46" i="11"/>
  <c r="E34" i="17"/>
  <c r="B65" i="11" s="1"/>
  <c r="B298" i="11" s="1"/>
  <c r="B273" i="11"/>
  <c r="C277" i="11" s="1"/>
  <c r="E389" i="11"/>
  <c r="B335" i="11"/>
  <c r="A334" i="11"/>
  <c r="B58" i="11" l="1"/>
  <c r="H22" i="11"/>
  <c r="E33" i="17"/>
  <c r="B188" i="17" s="1"/>
  <c r="E32" i="17"/>
  <c r="B63" i="11" s="1"/>
  <c r="B294" i="11"/>
  <c r="B274" i="11"/>
  <c r="C278" i="11" s="1"/>
  <c r="B295" i="11" s="1"/>
  <c r="C559" i="11"/>
  <c r="E561" i="11" s="1"/>
  <c r="E565" i="11" s="1"/>
  <c r="G565" i="11" s="1"/>
  <c r="D584" i="11"/>
  <c r="E584" i="11" s="1"/>
  <c r="F579" i="11" s="1"/>
  <c r="C576" i="11"/>
  <c r="B336" i="11"/>
  <c r="A335" i="11"/>
  <c r="C335" i="11"/>
  <c r="B136" i="17" l="1"/>
  <c r="B72" i="17"/>
  <c r="B24" i="17"/>
  <c r="B111" i="17"/>
  <c r="B5" i="17"/>
  <c r="B149" i="17"/>
  <c r="B68" i="17"/>
  <c r="B223" i="17"/>
  <c r="B13" i="17"/>
  <c r="B83" i="17"/>
  <c r="B126" i="17"/>
  <c r="B209" i="17"/>
  <c r="B77" i="17"/>
  <c r="B164" i="17"/>
  <c r="B19" i="17"/>
  <c r="B112" i="17"/>
  <c r="B147" i="17"/>
  <c r="B70" i="17"/>
  <c r="B169" i="17"/>
  <c r="B160" i="17"/>
  <c r="B156" i="17"/>
  <c r="B128" i="17"/>
  <c r="B158" i="17"/>
  <c r="B119" i="17"/>
  <c r="B163" i="17"/>
  <c r="B9" i="17"/>
  <c r="B10" i="17"/>
  <c r="B213" i="17"/>
  <c r="B181" i="17"/>
  <c r="B39" i="17"/>
  <c r="B131" i="17"/>
  <c r="B17" i="17"/>
  <c r="B96" i="17"/>
  <c r="B222" i="17"/>
  <c r="B227" i="17"/>
  <c r="B52" i="17"/>
  <c r="B30" i="17"/>
  <c r="B226" i="17"/>
  <c r="B7" i="17"/>
  <c r="B166" i="17"/>
  <c r="B118" i="17"/>
  <c r="B240" i="17"/>
  <c r="B113" i="17"/>
  <c r="B215" i="17"/>
  <c r="B124" i="17"/>
  <c r="B116" i="17"/>
  <c r="B201" i="17"/>
  <c r="B225" i="17"/>
  <c r="B12" i="17"/>
  <c r="B173" i="17"/>
  <c r="B162" i="17"/>
  <c r="B40" i="17"/>
  <c r="B206" i="17"/>
  <c r="B20" i="17"/>
  <c r="B31" i="17"/>
  <c r="B219" i="17"/>
  <c r="B91" i="17"/>
  <c r="B232" i="17"/>
  <c r="B191" i="17"/>
  <c r="B43" i="17"/>
  <c r="B76" i="17"/>
  <c r="B176" i="17"/>
  <c r="B179" i="17"/>
  <c r="B114" i="17"/>
  <c r="B150" i="17"/>
  <c r="B71" i="17"/>
  <c r="B130" i="17"/>
  <c r="B103" i="17"/>
  <c r="B104" i="17"/>
  <c r="B44" i="17"/>
  <c r="B110" i="17"/>
  <c r="B92" i="17"/>
  <c r="B241" i="17"/>
  <c r="B11" i="17"/>
  <c r="B142" i="17"/>
  <c r="B100" i="17"/>
  <c r="B27" i="17"/>
  <c r="B115" i="17"/>
  <c r="B29" i="17"/>
  <c r="B26" i="17"/>
  <c r="B195" i="17"/>
  <c r="B4" i="17"/>
  <c r="B205" i="17"/>
  <c r="B194" i="17"/>
  <c r="B16" i="17"/>
  <c r="B59" i="17"/>
  <c r="B129" i="17"/>
  <c r="B23" i="17"/>
  <c r="B184" i="17"/>
  <c r="B48" i="17"/>
  <c r="B180" i="17"/>
  <c r="B86" i="17"/>
  <c r="B198" i="17"/>
  <c r="B50" i="17"/>
  <c r="B224" i="17"/>
  <c r="B229" i="17"/>
  <c r="B97" i="17"/>
  <c r="B82" i="17"/>
  <c r="B36" i="17"/>
  <c r="B137" i="17"/>
  <c r="B237" i="17"/>
  <c r="B120" i="17"/>
  <c r="B170" i="17"/>
  <c r="B234" i="17"/>
  <c r="B203" i="17"/>
  <c r="B41" i="17"/>
  <c r="B132" i="17"/>
  <c r="B216" i="17"/>
  <c r="B159" i="17"/>
  <c r="B218" i="17"/>
  <c r="B87" i="17"/>
  <c r="B117" i="17"/>
  <c r="B151" i="17"/>
  <c r="B81" i="17"/>
  <c r="B78" i="17"/>
  <c r="B174" i="17"/>
  <c r="B105" i="17"/>
  <c r="B135" i="17"/>
  <c r="B212" i="17"/>
  <c r="B35" i="17"/>
  <c r="B102" i="17"/>
  <c r="B230" i="17"/>
  <c r="B53" i="17"/>
  <c r="B74" i="17"/>
  <c r="B49" i="17"/>
  <c r="B231" i="17"/>
  <c r="B122" i="17"/>
  <c r="B73" i="17"/>
  <c r="B95" i="17"/>
  <c r="B148" i="17"/>
  <c r="B155" i="17"/>
  <c r="B34" i="17"/>
  <c r="B152" i="17"/>
  <c r="B22" i="17"/>
  <c r="B190" i="17"/>
  <c r="B177" i="17"/>
  <c r="B90" i="17"/>
  <c r="B6" i="17"/>
  <c r="B214" i="17"/>
  <c r="B18" i="17"/>
  <c r="B32" i="17"/>
  <c r="B69" i="17"/>
  <c r="B106" i="17"/>
  <c r="B45" i="17"/>
  <c r="B143" i="17"/>
  <c r="B168" i="17"/>
  <c r="B134" i="17"/>
  <c r="B145" i="17"/>
  <c r="B56" i="17"/>
  <c r="B200" i="17"/>
  <c r="B138" i="17"/>
  <c r="B220" i="17"/>
  <c r="B239" i="17"/>
  <c r="B37" i="17"/>
  <c r="B38" i="17"/>
  <c r="B2" i="17"/>
  <c r="B157" i="17"/>
  <c r="B187" i="17"/>
  <c r="B178" i="17"/>
  <c r="B197" i="17"/>
  <c r="B167" i="17"/>
  <c r="B193" i="17"/>
  <c r="B175" i="17"/>
  <c r="B204" i="17"/>
  <c r="B202" i="17"/>
  <c r="B199" i="17"/>
  <c r="B101" i="17"/>
  <c r="B235" i="17"/>
  <c r="B161" i="17"/>
  <c r="B210" i="17"/>
  <c r="B28" i="17"/>
  <c r="B75" i="17"/>
  <c r="B3" i="17"/>
  <c r="B98" i="17"/>
  <c r="B192" i="17"/>
  <c r="B186" i="17"/>
  <c r="B62" i="17"/>
  <c r="B46" i="17"/>
  <c r="B65" i="17"/>
  <c r="B64" i="17"/>
  <c r="B125" i="17"/>
  <c r="B51" i="17"/>
  <c r="B171" i="17"/>
  <c r="B139" i="17"/>
  <c r="B33" i="17"/>
  <c r="B211" i="17"/>
  <c r="B93" i="17"/>
  <c r="B172" i="17"/>
  <c r="B21" i="17"/>
  <c r="B127" i="17"/>
  <c r="B42" i="17"/>
  <c r="B217" i="17"/>
  <c r="B58" i="17"/>
  <c r="B208" i="17"/>
  <c r="B63" i="17"/>
  <c r="B221" i="17"/>
  <c r="B108" i="17"/>
  <c r="B47" i="17"/>
  <c r="B185" i="17"/>
  <c r="B85" i="17"/>
  <c r="B67" i="17"/>
  <c r="B8" i="17"/>
  <c r="B60" i="17"/>
  <c r="B109" i="17"/>
  <c r="B238" i="17"/>
  <c r="B233" i="17"/>
  <c r="B15" i="17"/>
  <c r="B154" i="17"/>
  <c r="B133" i="17"/>
  <c r="B79" i="17"/>
  <c r="B207" i="17"/>
  <c r="B144" i="17"/>
  <c r="B123" i="17"/>
  <c r="B189" i="17"/>
  <c r="B88" i="17"/>
  <c r="B107" i="17"/>
  <c r="B153" i="17"/>
  <c r="B14" i="17"/>
  <c r="B54" i="17"/>
  <c r="B140" i="17"/>
  <c r="B141" i="17"/>
  <c r="B146" i="17"/>
  <c r="B121" i="17"/>
  <c r="B84" i="17"/>
  <c r="B196" i="17"/>
  <c r="B183" i="17"/>
  <c r="B80" i="17"/>
  <c r="B228" i="17"/>
  <c r="B94" i="17"/>
  <c r="B89" i="17"/>
  <c r="B66" i="17"/>
  <c r="B242" i="17"/>
  <c r="B57" i="17"/>
  <c r="B165" i="17"/>
  <c r="B99" i="17"/>
  <c r="B61" i="17"/>
  <c r="B55" i="17"/>
  <c r="B236" i="17"/>
  <c r="B182" i="17"/>
  <c r="B25" i="17"/>
  <c r="B64" i="11"/>
  <c r="B297" i="11" s="1"/>
  <c r="B283" i="11" s="1"/>
  <c r="G579" i="11"/>
  <c r="H579" i="11" s="1"/>
  <c r="D278" i="11"/>
  <c r="D277" i="11"/>
  <c r="A336" i="11"/>
  <c r="C336" i="11"/>
  <c r="B337" i="11"/>
  <c r="B301" i="11" l="1"/>
  <c r="B304" i="11" s="1"/>
  <c r="B300" i="11"/>
  <c r="B303" i="11" s="1"/>
  <c r="D566" i="11"/>
  <c r="C287" i="11"/>
  <c r="D287" i="11" s="1"/>
  <c r="C286" i="11"/>
  <c r="D286" i="11" s="1"/>
  <c r="C337" i="11"/>
  <c r="A337" i="11"/>
  <c r="J315" i="11" l="1"/>
  <c r="E600" i="11" l="1"/>
  <c r="G600" i="11" s="1"/>
  <c r="B593" i="11" l="1"/>
  <c r="E566" i="11"/>
  <c r="G566" i="11" s="1"/>
  <c r="E601" i="11" l="1"/>
  <c r="G601" i="11" s="1"/>
  <c r="C594" i="11"/>
  <c r="C593" i="11"/>
  <c r="C596" i="11" s="1"/>
  <c r="B596" i="11"/>
  <c r="H600" i="11"/>
  <c r="H601" i="11" l="1"/>
  <c r="B594" i="11"/>
  <c r="B597" i="11" s="1"/>
  <c r="C59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113" authorId="0" shapeId="0" xr:uid="{FF57D0BB-C000-46F9-B2CB-EB19B76202B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Aceleración Vertical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</author>
  </authors>
  <commentList>
    <comment ref="D256" authorId="0" shapeId="0" xr:uid="{00000000-0006-0000-0200-000001000000}">
      <text>
        <r>
          <rPr>
            <sz val="8"/>
            <color indexed="12"/>
            <rFont val="Tahoma"/>
            <family val="2"/>
          </rPr>
          <t>Período fundamental aproximado obtenido por medio de la fórmula A.4-2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<sst xmlns="http://schemas.openxmlformats.org/spreadsheetml/2006/main" count="3567" uniqueCount="1953">
  <si>
    <t>M =</t>
  </si>
  <si>
    <t>Modo</t>
  </si>
  <si>
    <t>Período</t>
  </si>
  <si>
    <r>
      <t>R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</t>
    </r>
  </si>
  <si>
    <r>
      <t>R</t>
    </r>
    <r>
      <rPr>
        <sz val="10"/>
        <rFont val="Arial"/>
        <family val="2"/>
      </rPr>
      <t xml:space="preserve"> =</t>
    </r>
  </si>
  <si>
    <t>Aa =</t>
  </si>
  <si>
    <t>Donde,</t>
  </si>
  <si>
    <t xml:space="preserve"> </t>
  </si>
  <si>
    <t>donde,</t>
  </si>
  <si>
    <t xml:space="preserve">M = Masa total del sistema analizado. </t>
  </si>
  <si>
    <t>p =  Número total de modos utilizado en el análisis modal de la estructura.</t>
  </si>
  <si>
    <t>·  Tc =</t>
  </si>
  <si>
    <t xml:space="preserve">       diseño, para periodos largos. </t>
  </si>
  <si>
    <t>h (m) =</t>
  </si>
  <si>
    <t>kN</t>
  </si>
  <si>
    <r>
      <t>M</t>
    </r>
    <r>
      <rPr>
        <vertAlign val="subscript"/>
        <sz val="10"/>
        <rFont val="Arial"/>
        <family val="2"/>
      </rPr>
      <t>j</t>
    </r>
    <r>
      <rPr>
        <sz val="10"/>
        <rFont val="Arial"/>
        <family val="2"/>
      </rPr>
      <t xml:space="preserve"> = Masa actuante total del sistema en la dirección j.</t>
    </r>
  </si>
  <si>
    <r>
      <t>M</t>
    </r>
    <r>
      <rPr>
        <vertAlign val="subscript"/>
        <sz val="10"/>
        <rFont val="Arial"/>
        <family val="2"/>
      </rPr>
      <t>m</t>
    </r>
    <r>
      <rPr>
        <sz val="10"/>
        <rFont val="Arial"/>
        <family val="2"/>
      </rPr>
      <t xml:space="preserve"> = Masa efectiva modal del modo m.</t>
    </r>
  </si>
  <si>
    <t>A</t>
  </si>
  <si>
    <t>2.1. CARGA MUERTA (D)</t>
  </si>
  <si>
    <t>2.2. CARGA VIVA (L):</t>
  </si>
  <si>
    <r>
      <t>M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 xml:space="preserve"> , m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= Parte de la masa total M colocada en el nivel i ó x respectivamente.</t>
    </r>
  </si>
  <si>
    <r>
      <t>·  T</t>
    </r>
    <r>
      <rPr>
        <vertAlign val="subscript"/>
        <sz val="10"/>
        <rFont val="Arial"/>
        <family val="2"/>
      </rPr>
      <t>O</t>
    </r>
    <r>
      <rPr>
        <sz val="10"/>
        <rFont val="Arial"/>
        <family val="2"/>
      </rPr>
      <t xml:space="preserve"> = </t>
    </r>
  </si>
  <si>
    <r>
      <t>·  T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 xml:space="preserve"> =</t>
    </r>
  </si>
  <si>
    <r>
      <t>T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 xml:space="preserve"> = Período de vibración correspondiente al inicio de la zona de aceleración constante del espectro de</t>
    </r>
  </si>
  <si>
    <r>
      <t>C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 xml:space="preserve"> =</t>
    </r>
  </si>
  <si>
    <r>
      <t>T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(s) =</t>
    </r>
  </si>
  <si>
    <r>
      <t>g</t>
    </r>
    <r>
      <rPr>
        <vertAlign val="subscript"/>
        <sz val="10"/>
        <rFont val="Arial"/>
        <family val="2"/>
      </rPr>
      <t>conc</t>
    </r>
    <r>
      <rPr>
        <sz val="10"/>
        <rFont val="Arial"/>
        <family val="2"/>
      </rPr>
      <t xml:space="preserve"> =</t>
    </r>
  </si>
  <si>
    <t>(Peso específico del concreto)</t>
  </si>
  <si>
    <t>Densidades de materiales</t>
  </si>
  <si>
    <r>
      <t>f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=</t>
    </r>
  </si>
  <si>
    <r>
      <t>f</t>
    </r>
    <r>
      <rPr>
        <vertAlign val="subscript"/>
        <sz val="10"/>
        <rFont val="Arial"/>
        <family val="2"/>
      </rPr>
      <t>p</t>
    </r>
    <r>
      <rPr>
        <sz val="10"/>
        <rFont val="Arial"/>
        <family val="2"/>
      </rPr>
      <t xml:space="preserve"> =</t>
    </r>
  </si>
  <si>
    <t>2.3. CARGA DE GRANIZO (G):</t>
  </si>
  <si>
    <t>2.4. CARGA DE EMPUJE DE TIERRAS (H):</t>
  </si>
  <si>
    <t>Carga de granizo (G):</t>
  </si>
  <si>
    <t>2.5. CARGA DE VIENTO (W):</t>
  </si>
  <si>
    <r>
      <rPr>
        <sz val="10"/>
        <rFont val="Calibri"/>
        <family val="2"/>
      </rPr>
      <t>α</t>
    </r>
    <r>
      <rPr>
        <sz val="10"/>
        <rFont val="Arial"/>
        <family val="2"/>
      </rPr>
      <t xml:space="preserve"> = </t>
    </r>
  </si>
  <si>
    <t>Cu =</t>
  </si>
  <si>
    <t>Av =</t>
  </si>
  <si>
    <t xml:space="preserve"> Fv =</t>
  </si>
  <si>
    <t>Coef. de amplificación que afecta la aceleración en la zona de períodos intermedios</t>
  </si>
  <si>
    <t>Factor de importancia</t>
  </si>
  <si>
    <t>Grupo II: Estructuras de ocupación especial</t>
  </si>
  <si>
    <t>(NSR-10 A.2.5)</t>
  </si>
  <si>
    <t>D</t>
  </si>
  <si>
    <t>Coeficiente de amplificación que afecta la aceleración en la zona de períodos cortos</t>
  </si>
  <si>
    <r>
      <t>F</t>
    </r>
    <r>
      <rPr>
        <vertAlign val="subscript"/>
        <sz val="9"/>
        <rFont val="Arial"/>
        <family val="2"/>
      </rPr>
      <t>a</t>
    </r>
    <r>
      <rPr>
        <sz val="9"/>
        <rFont val="Arial"/>
        <family val="2"/>
      </rPr>
      <t>=</t>
    </r>
  </si>
  <si>
    <t>Coeficiente de amplificación que afecta la aceleración en la zona de períodos intermedios</t>
  </si>
  <si>
    <r>
      <t>F</t>
    </r>
    <r>
      <rPr>
        <vertAlign val="subscript"/>
        <sz val="9"/>
        <rFont val="Arial"/>
        <family val="2"/>
      </rPr>
      <t>v</t>
    </r>
    <r>
      <rPr>
        <sz val="9"/>
        <rFont val="Arial"/>
        <family val="2"/>
      </rPr>
      <t>=</t>
    </r>
  </si>
  <si>
    <r>
      <t>T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 Período de vibración, en segundos, correspondiente al inicio de la zona de desplazamiento</t>
    </r>
  </si>
  <si>
    <t xml:space="preserve">       aproximadamente constante del espectro de diseño, para períodos largos. (NSR-10 A.2.6).</t>
  </si>
  <si>
    <r>
      <t>T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 xml:space="preserve"> = Período de vibración, en segundos, correspondiente a la transición entre la zona de aceleración constante</t>
    </r>
  </si>
  <si>
    <t xml:space="preserve">       del espectro de diseño, para períodos cortos, y la parte descendiente del mismo. (Véase A.2.6).</t>
  </si>
  <si>
    <t>g = Fuerza de la gravedad</t>
  </si>
  <si>
    <t>Espectro elástico de diseño de la NSR-10.</t>
  </si>
  <si>
    <t>T (seg)</t>
  </si>
  <si>
    <t xml:space="preserve">Sa </t>
  </si>
  <si>
    <t>B</t>
  </si>
  <si>
    <t>C</t>
  </si>
  <si>
    <t>E</t>
  </si>
  <si>
    <t>F</t>
  </si>
  <si>
    <t>F1</t>
  </si>
  <si>
    <t>F2</t>
  </si>
  <si>
    <t>F3</t>
  </si>
  <si>
    <t>F4</t>
  </si>
  <si>
    <t>Grupo de ocupación</t>
  </si>
  <si>
    <t>Grupo I: Estructuras de ocupación normal</t>
  </si>
  <si>
    <t>Grupo III: Edificaciones de atención a la comunidad</t>
  </si>
  <si>
    <t>Grupo IV: Edificaciones indispensables</t>
  </si>
  <si>
    <r>
      <t>R</t>
    </r>
    <r>
      <rPr>
        <vertAlign val="subscript"/>
        <sz val="10"/>
        <rFont val="Arial"/>
        <family val="2"/>
      </rPr>
      <t>0</t>
    </r>
  </si>
  <si>
    <r>
      <t>f</t>
    </r>
    <r>
      <rPr>
        <vertAlign val="subscript"/>
        <sz val="10"/>
        <rFont val="Arial"/>
        <family val="2"/>
      </rPr>
      <t>a</t>
    </r>
  </si>
  <si>
    <r>
      <t>f</t>
    </r>
    <r>
      <rPr>
        <vertAlign val="subscript"/>
        <sz val="10"/>
        <rFont val="Arial"/>
        <family val="2"/>
      </rPr>
      <t>p</t>
    </r>
  </si>
  <si>
    <r>
      <t>f</t>
    </r>
    <r>
      <rPr>
        <vertAlign val="subscript"/>
        <sz val="10"/>
        <rFont val="Arial"/>
        <family val="2"/>
      </rPr>
      <t>r</t>
    </r>
  </si>
  <si>
    <t>R</t>
  </si>
  <si>
    <t>Coeficiente básico de capacidad de disipación de energía</t>
  </si>
  <si>
    <t>Coeficiente que evalúa irregularidad en altura.</t>
  </si>
  <si>
    <t>Coeficiente que evalúa irregularidad en planta.</t>
  </si>
  <si>
    <t>Coeficiente de capacidad de disipación de energía en el rango inelástico de respuesta</t>
  </si>
  <si>
    <r>
      <rPr>
        <sz val="12"/>
        <rFont val="Calibri"/>
        <family val="2"/>
      </rPr>
      <t>φ</t>
    </r>
    <r>
      <rPr>
        <sz val="10"/>
        <rFont val="Arial"/>
        <family val="2"/>
      </rPr>
      <t>p =</t>
    </r>
  </si>
  <si>
    <r>
      <rPr>
        <sz val="12"/>
        <rFont val="Calibri"/>
        <family val="2"/>
      </rPr>
      <t>φa</t>
    </r>
    <r>
      <rPr>
        <sz val="10"/>
        <rFont val="Arial"/>
        <family val="2"/>
      </rPr>
      <t xml:space="preserve"> = </t>
    </r>
  </si>
  <si>
    <r>
      <rPr>
        <sz val="10"/>
        <rFont val="Arial"/>
        <family val="2"/>
      </rPr>
      <t xml:space="preserve">Irregularidad en planta: </t>
    </r>
    <r>
      <rPr>
        <sz val="10"/>
        <color indexed="12"/>
        <rFont val="Arial"/>
        <family val="2"/>
      </rPr>
      <t xml:space="preserve">  </t>
    </r>
  </si>
  <si>
    <t xml:space="preserve">Irregularidad en altura: </t>
  </si>
  <si>
    <t>Irregularidad en altura:</t>
  </si>
  <si>
    <t>Irregularidad en planta:</t>
  </si>
  <si>
    <r>
      <rPr>
        <sz val="12"/>
        <rFont val="Calibri"/>
        <family val="2"/>
      </rPr>
      <t>φr</t>
    </r>
    <r>
      <rPr>
        <sz val="10"/>
        <rFont val="Arial"/>
        <family val="2"/>
      </rPr>
      <t xml:space="preserve"> = </t>
    </r>
  </si>
  <si>
    <t xml:space="preserve"> (Ver NSR-10 tabla A.3-1.)</t>
  </si>
  <si>
    <t xml:space="preserve">CS1 = </t>
  </si>
  <si>
    <t xml:space="preserve">CS2 = </t>
  </si>
  <si>
    <t xml:space="preserve">CS3-A = </t>
  </si>
  <si>
    <t xml:space="preserve">CS3-B = </t>
  </si>
  <si>
    <t xml:space="preserve">CS4-A = </t>
  </si>
  <si>
    <t xml:space="preserve">CS4-B = </t>
  </si>
  <si>
    <t xml:space="preserve">CS7-A = </t>
  </si>
  <si>
    <t xml:space="preserve">CS7-B = </t>
  </si>
  <si>
    <t xml:space="preserve">CS8-A = </t>
  </si>
  <si>
    <t xml:space="preserve">CS8-B = </t>
  </si>
  <si>
    <t>D + H + L</t>
  </si>
  <si>
    <t>D + H + Lr</t>
  </si>
  <si>
    <t>D + H + G</t>
  </si>
  <si>
    <t>D + H + 0.75L + 0.75Lr</t>
  </si>
  <si>
    <t>D + H + 0.75L + 0.75G</t>
  </si>
  <si>
    <t>D + H + W</t>
  </si>
  <si>
    <t>D + H + 0.75W + 0.75L + 0.75Lr</t>
  </si>
  <si>
    <t>D + H + 0.75W + 0.75L + 0.75G</t>
  </si>
  <si>
    <t>0.6D + W + H</t>
  </si>
  <si>
    <t xml:space="preserve">CU1 = </t>
  </si>
  <si>
    <t>CS5 =</t>
  </si>
  <si>
    <t>CS9 =</t>
  </si>
  <si>
    <t xml:space="preserve">CU3-A = </t>
  </si>
  <si>
    <t xml:space="preserve">CU3-B = </t>
  </si>
  <si>
    <t xml:space="preserve">CU4-A = </t>
  </si>
  <si>
    <t xml:space="preserve">CU4-B = </t>
  </si>
  <si>
    <t xml:space="preserve">CU7-A = </t>
  </si>
  <si>
    <t xml:space="preserve">CU7-B = </t>
  </si>
  <si>
    <t>1.2D + 1.6H + 1.6L + 0.5Lr</t>
  </si>
  <si>
    <t xml:space="preserve">CU2-A = </t>
  </si>
  <si>
    <t xml:space="preserve">CU2-B = </t>
  </si>
  <si>
    <t>1.2D + 1.6H + 1.6L + 0.5G</t>
  </si>
  <si>
    <t xml:space="preserve">CU3-D = </t>
  </si>
  <si>
    <t xml:space="preserve">CU3-C = </t>
  </si>
  <si>
    <t xml:space="preserve">CU7-C = </t>
  </si>
  <si>
    <t xml:space="preserve">CU7-D = </t>
  </si>
  <si>
    <t>0.9D + 1.0Ex + 1.6H</t>
  </si>
  <si>
    <t>0.9D + 1.0Ey + 1.6H</t>
  </si>
  <si>
    <t xml:space="preserve">CU5-A = </t>
  </si>
  <si>
    <t xml:space="preserve">CU5-B = </t>
  </si>
  <si>
    <t>CS6-A =</t>
  </si>
  <si>
    <t>CS6-B =</t>
  </si>
  <si>
    <t xml:space="preserve">CS8-C = </t>
  </si>
  <si>
    <t xml:space="preserve">CS8-D = </t>
  </si>
  <si>
    <t>CS10-A =</t>
  </si>
  <si>
    <t>CS10-B =</t>
  </si>
  <si>
    <t xml:space="preserve">Coeficiente de aceleración </t>
  </si>
  <si>
    <t>Coeficiente de aceleración horizontal pico efectiva</t>
  </si>
  <si>
    <t xml:space="preserve">Coeficiente de velocidad horizontal pico efectiva </t>
  </si>
  <si>
    <t>(Masa total de la edificacion)</t>
  </si>
  <si>
    <t>TOTAL</t>
  </si>
  <si>
    <t>D + H + 0.7Ex</t>
  </si>
  <si>
    <t>D + H + 0.7Ey</t>
  </si>
  <si>
    <t>D + H + 0.53Ex + 0.75L + 0.75Lr</t>
  </si>
  <si>
    <t>D + H + 0.53Ey + 0.75L + 0.75Lr</t>
  </si>
  <si>
    <t>D + H + 0.53Ex + 0.75L + 0.75G</t>
  </si>
  <si>
    <t>D + H + 0.53Ey + 0.75L + 0.75G</t>
  </si>
  <si>
    <t>0.6D + 0.7Ex + H</t>
  </si>
  <si>
    <t>0.6D + 0.7Ey + H</t>
  </si>
  <si>
    <t>Carga viva (L):</t>
  </si>
  <si>
    <t>1.4D +1.6H</t>
  </si>
  <si>
    <t>1.2D + 1.6Lr + 1.0L + 1.6H</t>
  </si>
  <si>
    <t>1.2D + 1.6Lr + 0.5W + 1.6H</t>
  </si>
  <si>
    <t>1.2D + 1.6G + 1.0L + 1.6H</t>
  </si>
  <si>
    <t>1.2D + 1.6G + 0.5W + 1.6H</t>
  </si>
  <si>
    <t>1.2D + 1.0W + 1.0L + 0.5Lr + 1.6H</t>
  </si>
  <si>
    <t>1.2D + 1.0W + 1.0L + 0.5G +1.6H</t>
  </si>
  <si>
    <t>1.2D + 1.0Ex + 1.0L + 0.9H</t>
  </si>
  <si>
    <t>1.2D + 1.0Ey + 1.0L + 0.9H</t>
  </si>
  <si>
    <t xml:space="preserve">CU5-C = </t>
  </si>
  <si>
    <t>1.2D + 1.0Ex + 1.0L + 1.6H</t>
  </si>
  <si>
    <t xml:space="preserve">CU5-D = </t>
  </si>
  <si>
    <t>1.2D + 1.0Ey + 1.0L + 1.6H</t>
  </si>
  <si>
    <t xml:space="preserve">CU6 = </t>
  </si>
  <si>
    <t>0.9D + 1.6W +1.6H</t>
  </si>
  <si>
    <t>0.9D + 1.0Ex + 0.9H</t>
  </si>
  <si>
    <t>0.9D + 1.0Ey + 0.9H</t>
  </si>
  <si>
    <t>D + H</t>
  </si>
  <si>
    <t>En anexos a este informe se presenta el calculo de la presion de viento utilizada en diseño.</t>
  </si>
  <si>
    <t>1. PREDIMENSIONAMIENTO Y COORDINACIÓN CON LOS OTROS PROFESIONALES</t>
  </si>
  <si>
    <t>2. EVALUACIÓN DE LAS SOLICITACIONES DEFINITIVAS</t>
  </si>
  <si>
    <t>cual será empleada en la determinación de los efectos sísmicos.</t>
  </si>
  <si>
    <t xml:space="preserve">Se tendrá en cuenta la carga muerta producida por: el efecto gravitacional de la masa de los elementos estructurales, </t>
  </si>
  <si>
    <t>o peso propio, las cargas de acabados y elementos no estructurales.</t>
  </si>
  <si>
    <t>3. OBTENCION DEL NIVEL DE AMENAZA SÍSMICA Y LOS VALORES DE Aa Y Av</t>
  </si>
  <si>
    <r>
      <t>Localización:</t>
    </r>
    <r>
      <rPr>
        <sz val="10"/>
        <color indexed="12"/>
        <rFont val="Arial"/>
        <family val="2"/>
      </rPr>
      <t xml:space="preserve"> </t>
    </r>
  </si>
  <si>
    <r>
      <t>Nivel de amenaza sísmica:</t>
    </r>
    <r>
      <rPr>
        <sz val="10"/>
        <color indexed="12"/>
        <rFont val="Arial"/>
        <family val="2"/>
      </rPr>
      <t xml:space="preserve"> </t>
    </r>
  </si>
  <si>
    <t>4. MOVIMIENTOS SÍSMICOS DE DISEÑO</t>
  </si>
  <si>
    <t>(a) La amenaza sísmica para el lugar determinada en el punto 3, expresada a través de Aa y Av, o Ad, según aplique.</t>
  </si>
  <si>
    <t>(b) Las caracterisiticas de estratificacion del suelo subyacente en el lugar a traves de Fa y Fv.</t>
  </si>
  <si>
    <r>
      <t>Movimientos sísmicos de diseño:</t>
    </r>
    <r>
      <rPr>
        <sz val="10"/>
        <color indexed="12"/>
        <rFont val="Arial"/>
        <family val="2"/>
      </rPr>
      <t xml:space="preserve"> </t>
    </r>
  </si>
  <si>
    <t xml:space="preserve">Expresados como el espectro elástico de diseño de la NSR-10. </t>
  </si>
  <si>
    <t>De acuerdo con la seccion A.2.6 de la NSR-10, se define el espectro elastico de aceleraciones, con Sa expresada como</t>
  </si>
  <si>
    <t>fracción de la gravedad, para un coeficiente de 5% del amortiguamiento critico.</t>
  </si>
  <si>
    <t>5. CARACTERISTICAS DE LA ESTRUCTURACION Y DEL MATERIAL ESTRUCTURAL EMPLEADO</t>
  </si>
  <si>
    <r>
      <t>Sistema estructural de resistencia sísmica:</t>
    </r>
    <r>
      <rPr>
        <sz val="10"/>
        <color indexed="12"/>
        <rFont val="Arial"/>
        <family val="2"/>
      </rPr>
      <t xml:space="preserve"> </t>
    </r>
  </si>
  <si>
    <t>Coeficiente de aceleración horizontal pico efectiva:</t>
  </si>
  <si>
    <t>Coeficiente de velocidad horizontal pico efectiva:</t>
  </si>
  <si>
    <t>Material:</t>
  </si>
  <si>
    <t xml:space="preserve">Capacidad de disipación de energía en el intervalo inelástico de respuesta: </t>
  </si>
  <si>
    <t>Coeficiente básico de capacidad de disipación de energía:  R_0</t>
  </si>
  <si>
    <t>Uso permitido para zona de amenaza sismica</t>
  </si>
  <si>
    <t xml:space="preserve">Altura max. en zona de amenaza sismica </t>
  </si>
  <si>
    <t xml:space="preserve">Cuando se utilizan estructuras con (b) Sistema Combinado o (d) Sistema dual, estos deben cumplir los requisitos </t>
  </si>
  <si>
    <t>presentados en A.3.2.1 de la NSR-10.</t>
  </si>
  <si>
    <t>Cuando se combinan sistemas estructurales en altura se deben cumplir con los requisitos presentados en A.3.2.4.</t>
  </si>
  <si>
    <t>Cuando se combinan sistemas estructurales en planta se deben cumplir con los requisitos presentados en A.3.2.5.</t>
  </si>
  <si>
    <t>Cuando se utilizan sistemas prefabricados deben cumplirse los requisistos contenidos en A.3.1.7.</t>
  </si>
  <si>
    <t>NOTAS:</t>
  </si>
  <si>
    <t>6. GRADO DE IRREGULARIDAD DE LA ESTRUCTURA Y PROCEDIMIENTO DE ANALISIS</t>
  </si>
  <si>
    <t xml:space="preserve">Definicion del procedimiento de analisis sismicos de la estructura de acuerdo con la regularidad o irregularidad de la </t>
  </si>
  <si>
    <t xml:space="preserve">configuracion de la edificacion, tanto en planta como en alzado, su grado de redundancia o de ausencia de ella en el </t>
  </si>
  <si>
    <t>sistema estructural de resistencia sismica, su altura, las caracteristicas del suelo en el lugar, y el nivel de amenaza sismica</t>
  </si>
  <si>
    <t>siguiendo los preceptos dados en el capitulo A.3 de la NSR-10.</t>
  </si>
  <si>
    <t>Cuando los requisitos del material estructural y grado de disipacion de energia requieran que los elementos fragiles o</t>
  </si>
  <si>
    <t>las conexiones se entre elementos se diseñen para fuerzas sismicas, E, amplificadas por el coeficiente de sobrerresistencia</t>
  </si>
  <si>
    <t>este debe emplearse de la siguiente manera para obtener las fuerzas de diseño que incluyen los efectos sismicos:</t>
  </si>
  <si>
    <t>Donde Fs correponde a las fuerzas sismicas obtenidas del analisis estructural, R es el coeficiente de disipacion de energia</t>
  </si>
  <si>
    <t>reducido, D corresponde a la carga muerta que actua sobre el elemento y el signo de la parte derecha es el que conduce</t>
  </si>
  <si>
    <t>al mayor valor de E, dependiendo del signo de Fs.</t>
  </si>
  <si>
    <t>CONFIGURACION EN PLANTA</t>
  </si>
  <si>
    <r>
      <rPr>
        <sz val="10"/>
        <rFont val="Symbol"/>
        <family val="1"/>
        <charset val="2"/>
      </rPr>
      <t>f</t>
    </r>
    <r>
      <rPr>
        <sz val="14"/>
        <rFont val="Arial"/>
        <family val="2"/>
      </rPr>
      <t>_p</t>
    </r>
  </si>
  <si>
    <t>CONFIGURACION EN LA ALTURA</t>
  </si>
  <si>
    <t xml:space="preserve">La edificación se considera irregular en planta (Ver Figura A.3-1) cuando ocurra, uno o varios, de los casos descritos en la </t>
  </si>
  <si>
    <t xml:space="preserve">Tabla A.3-6, donde se definen los valores del coeficiente de reduccion por irregularidades en planta </t>
  </si>
  <si>
    <t xml:space="preserve">La edificación se considera irregular en altura (Ver Figura A.3.-2) cuando ocurra, uno o varios, de los casos descritos en la </t>
  </si>
  <si>
    <r>
      <rPr>
        <sz val="10"/>
        <rFont val="Symbol"/>
        <family val="1"/>
        <charset val="2"/>
      </rPr>
      <t>f</t>
    </r>
    <r>
      <rPr>
        <sz val="14"/>
        <rFont val="Arial"/>
        <family val="2"/>
      </rPr>
      <t>_a</t>
    </r>
  </si>
  <si>
    <t>Tabla A.3-7, donde se definen los valores del coeficiente de reduccion por irregularidades en altura</t>
  </si>
  <si>
    <t>EXCEPCIONES</t>
  </si>
  <si>
    <t>Excepciones para edificaciones a las irregularidades en altura de acuerdo con la seccion A.3.3.5.1</t>
  </si>
  <si>
    <t>Excepciones para edificaciones en zonas de amenaza sismica baja de los grupos I y II según A.3.3.6</t>
  </si>
  <si>
    <t>Excepciones para edificaciones en zonas de amenaza sismica intermedia del grupo I según A.3.3.7</t>
  </si>
  <si>
    <t>AUSENCIA DE REDUNDANCIA EN EL SISTEMA ESTRUCTURAL DE RESISTENCIA SISMICA</t>
  </si>
  <si>
    <t>Debe asignarse un factor de reduccion de resistencia por ausencia de redundancia en las dos direcciones principales asi:</t>
  </si>
  <si>
    <t>Edificaciones con sistema estructural con capacidad de disipacion de energia minima (DMI):</t>
  </si>
  <si>
    <t>El valor del factor de reduccion de resistencia por ausencia de redundancia en el sistema estructural de resistencia</t>
  </si>
  <si>
    <t>Edificaciones con sistema estructural con capacidad de disipacion de energia moderada (DMO) o especial (DES):</t>
  </si>
  <si>
    <t>(a) Porticos con arriostramientos concentricos</t>
  </si>
  <si>
    <t>(b) Porticos con arriostramientos excentricos</t>
  </si>
  <si>
    <t>(c) Porticos resistentes a momentos</t>
  </si>
  <si>
    <t>(d) Muros estructurales de concreto reforzado</t>
  </si>
  <si>
    <t>(e) Otros sistemas</t>
  </si>
  <si>
    <t>La falla de cualquiera de las diagonales o sus conexiones al portico no resulta en una reduccion de mas del 33% de la</t>
  </si>
  <si>
    <t>resistencia ante fuerzas horizontales ni produce una irregularidad torsional en planta extrema (Tipo 1bP)</t>
  </si>
  <si>
    <t>La pérdida de resistencia a momento o a cortante de los dos extremos de un vinculo no resulta en una reduccion de mas</t>
  </si>
  <si>
    <t>del 33% de la resistencia ante fuerzas horizontales ni produce una irregularidad torsional en planta extrema (Tipo 1bP)</t>
  </si>
  <si>
    <t>La pérdida de resistencia a momento en la conexión viga-columna de los dos extremos de una viga no resulta en una</t>
  </si>
  <si>
    <t xml:space="preserve">reduccion de mas del 33% de la resistencia ante fuerzas horizontales ni produce una irregularidad torsional en planta </t>
  </si>
  <si>
    <t>extrema (Tipo 1bP)</t>
  </si>
  <si>
    <t xml:space="preserve">La falla de un muro estructural o de una porcion de el que tengan una relacion de la altura del piso a su longitud </t>
  </si>
  <si>
    <t>horizontal mayor de 1 o de los elementos colectores que lo conectan al diafragma, no resulta en una reduccion de mas</t>
  </si>
  <si>
    <t>No hay requisitos especiales</t>
  </si>
  <si>
    <t>En los sistemas estructurales que no cumplan (a) a (d), el valor del factor de reduccion de resistencia por ausencia</t>
  </si>
  <si>
    <t xml:space="preserve"> de redundancia en el sistema estructural de resistencia sismica</t>
  </si>
  <si>
    <t>sismica es igual a:</t>
  </si>
  <si>
    <t xml:space="preserve">sismica se le puede asignar un valor igual a: </t>
  </si>
  <si>
    <t>cuando en todos los pisos que resistan</t>
  </si>
  <si>
    <t xml:space="preserve">mas del 35% del cortante basal en la direccion bajo estudio, el sistema de resistencia sismica cumpla con las siguientes </t>
  </si>
  <si>
    <t>condiciones de redundancia:</t>
  </si>
  <si>
    <t xml:space="preserve">Aunque no se cumplan las condiciones (a) a (d), el valor del factor de reduccion de resistencia por ausencia de </t>
  </si>
  <si>
    <t xml:space="preserve">redundancia en el sistema estructural de resistencia sismica se le puede asignar un valor de: </t>
  </si>
  <si>
    <t xml:space="preserve">si todos los pisos que resistan mas del 35% del cortante basal en la direccion bajo estudio, son regulares en planta y </t>
  </si>
  <si>
    <t xml:space="preserve">tienen al menos dos vanos compuestos por elementos el sistema de resistencia sismica localizados en la periferia a </t>
  </si>
  <si>
    <t>ambos lados de la planta en las dos direcciones principales. Si el sistema es de muros estructurales, para efecto de contar</t>
  </si>
  <si>
    <t xml:space="preserve"> el numero de vanos equivalentes se calcula como la longitud horizontal del muro dividida por la altura del piso.</t>
  </si>
  <si>
    <t>El sistema es de muros o porticos</t>
  </si>
  <si>
    <t>Porticos: Numero de vanos localizados en la periferia a ambos lados en las dos direcciones principales</t>
  </si>
  <si>
    <t>Muros: Longitud horizontal del muro</t>
  </si>
  <si>
    <t>Altura del piso</t>
  </si>
  <si>
    <t>Vanos equiv.</t>
  </si>
  <si>
    <t>NO</t>
  </si>
  <si>
    <t>Cumple con condiciones de redundancia (a) a (d):</t>
  </si>
  <si>
    <t>Valor del coeficiente de reduccion por ausencia de redundancia</t>
  </si>
  <si>
    <r>
      <rPr>
        <sz val="10"/>
        <rFont val="Symbol"/>
        <family val="1"/>
        <charset val="2"/>
      </rPr>
      <t>f</t>
    </r>
    <r>
      <rPr>
        <sz val="14"/>
        <rFont val="Arial"/>
        <family val="2"/>
      </rPr>
      <t>_r</t>
    </r>
  </si>
  <si>
    <t>METODO DE ANALISIS A UTILIZAR SEGÚN A.3.4.2:</t>
  </si>
  <si>
    <t>Analisis Dinamico Elastico</t>
  </si>
  <si>
    <t>* Se ha verificado la validez de utilizar este metodo según A.3.4.2.</t>
  </si>
  <si>
    <t>7. DETERMINACION DE LAS FUERZAS SISMICAS</t>
  </si>
  <si>
    <t>MASA DE LA EDIFICACION (M):</t>
  </si>
  <si>
    <r>
      <t>F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>=</t>
    </r>
  </si>
  <si>
    <r>
      <t>F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>=</t>
    </r>
  </si>
  <si>
    <t>Ton</t>
  </si>
  <si>
    <t>(Masa total, obtenida del modelo estructural)</t>
  </si>
  <si>
    <t>(Masa que no participa en vibracion)</t>
  </si>
  <si>
    <t>- m =</t>
  </si>
  <si>
    <r>
      <t>M</t>
    </r>
    <r>
      <rPr>
        <vertAlign val="subscript"/>
        <sz val="10"/>
        <rFont val="Arial"/>
        <family val="2"/>
      </rPr>
      <t>totalREAL</t>
    </r>
    <r>
      <rPr>
        <sz val="10"/>
        <rFont val="Arial"/>
        <family val="2"/>
      </rPr>
      <t xml:space="preserve"> =</t>
    </r>
  </si>
  <si>
    <t>Ecuación A.4.2-2: Cu=1.75-1.2*Av*Fv, pero no debe ser menor de 1.2</t>
  </si>
  <si>
    <t>con el sistema estructural de resistencia sismica.</t>
  </si>
  <si>
    <t>T calculado</t>
  </si>
  <si>
    <t>CARACTERISTICAS VIBRATORIAS DE LA ESTRUCTURA ( RIGIDEZ (k) Y PERIODO (T)  ):</t>
  </si>
  <si>
    <t>El cortante sismico en la base , Vs, equivalente a la totalidad de efectos horizontales producidos por los movimientos sismico</t>
  </si>
  <si>
    <t>de diseño, en la direccion en estudio, se obtiene por medio de A.4.3 de la Fuerza Horizontal equivalente</t>
  </si>
  <si>
    <r>
      <t>Fuerza cortante basal V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 S</t>
    </r>
    <r>
      <rPr>
        <vertAlign val="subscript"/>
        <sz val="10"/>
        <rFont val="Arial"/>
        <family val="2"/>
      </rPr>
      <t xml:space="preserve">a </t>
    </r>
    <r>
      <rPr>
        <sz val="10"/>
        <rFont val="Arial"/>
        <family val="2"/>
      </rPr>
      <t>* M_TOTAL * g  . Ecuacion (A.4.3-1)</t>
    </r>
  </si>
  <si>
    <t>El valor de Sa se obtiene del espectro calculado para el periodo de la edificacion.</t>
  </si>
  <si>
    <t>Si T &lt; Tc, la máxima aceleración horizontal de diseño es Sa = 2,5*Aa*Fa*I</t>
  </si>
  <si>
    <t>Si Tc &lt; T &lt; TL, la máxima aceleración horizontal de diseño es Sa = 1.2*Av*Fv*I / T</t>
  </si>
  <si>
    <t>%g</t>
  </si>
  <si>
    <t>8. ANALISIS SISMICO DE LA ESTRUCTURA</t>
  </si>
  <si>
    <t>RIGIDEZ DE LA ESTRUCTURA Y SUS ELEMENTOS</t>
  </si>
  <si>
    <t xml:space="preserve">De acuerdo con C.8.8.2, la rigidez de los elementos se define por las propiedades de las secciones definidas en </t>
  </si>
  <si>
    <t>(a) Modulo de elasticidad definido según C.8.5.1.</t>
  </si>
  <si>
    <t xml:space="preserve">Para concretos de densidad normal el modulo de elasticidad puede tomarse como </t>
  </si>
  <si>
    <t>f' c [Mpa]</t>
  </si>
  <si>
    <t>E c [Mpa]</t>
  </si>
  <si>
    <t>f' c [psi]</t>
  </si>
  <si>
    <t>(b) Momentos de inercia I:</t>
  </si>
  <si>
    <t>(c ) Area:</t>
  </si>
  <si>
    <t>Todos los elementos 1.0 Ag</t>
  </si>
  <si>
    <r>
      <t xml:space="preserve">Columnas 0.70 Ig; 1.4*0.7 Ig = 0.98 Ig. </t>
    </r>
    <r>
      <rPr>
        <b/>
        <sz val="10"/>
        <rFont val="Arial"/>
        <family val="2"/>
      </rPr>
      <t>Para el analisis se toma 1.0 Ig</t>
    </r>
  </si>
  <si>
    <r>
      <t xml:space="preserve">Muros no agrietados 0.70 Ig; 1.4*0.7 Ig = 0.98 Ig. </t>
    </r>
    <r>
      <rPr>
        <b/>
        <sz val="10"/>
        <rFont val="Arial"/>
        <family val="2"/>
      </rPr>
      <t>Para el analisis se toma 1.0 Ig</t>
    </r>
  </si>
  <si>
    <t>Donde:</t>
  </si>
  <si>
    <t>Momento de inercia bruto</t>
  </si>
  <si>
    <t>Momento de inercia seccion fisurada</t>
  </si>
  <si>
    <t>Momento máximo debido a cargas de servicio en el centro de la luz para tramos simples y continuos y en el apoyo para voladizos</t>
  </si>
  <si>
    <t>Momento de fisuracion. Ecuaciones (C.9-9) y (C.9-10)</t>
  </si>
  <si>
    <t>EFECTOS SISMICOS EN ELEMENTOS ESTRUCTURALES</t>
  </si>
  <si>
    <t>DIRECCION DE APLICACIÓN DE LAS FUERZAS SISMICAS</t>
  </si>
  <si>
    <t>No hay necesidad de tener en cuenta los efectos ortogonales si la estructura tiene diafragmas flexibles o si se trata de edificios</t>
  </si>
  <si>
    <t>de un piso en los cuales no haya irregularidades tipo 5P.</t>
  </si>
  <si>
    <t>Estructuras que tienen irregularidades en planta del tipo 1aP, 1bP o 5P</t>
  </si>
  <si>
    <t>Las columnas que hagan parte del sistema de resistencia sismica de la estructura</t>
  </si>
  <si>
    <t>Debe tenerse en cuenta el efecto ortogonal en zonas de amenaza sismica intermedia o alta en los siguientes casos:</t>
  </si>
  <si>
    <t>Numero de pisos</t>
  </si>
  <si>
    <t>Tiene diafragmas flexibles</t>
  </si>
  <si>
    <t>Zona de Amenaza sismica</t>
  </si>
  <si>
    <t>Irregularidad en planta</t>
  </si>
  <si>
    <t>Es necesario considerar efectos ortogonales en sismo?</t>
  </si>
  <si>
    <t xml:space="preserve">Los efectos ortogonales pueden tenerse en cuenta suponiendo la concurrencia simultanea del 100% de las fuerzas sismicas en </t>
  </si>
  <si>
    <t>una direccion y el 30% en la direccion perpendicular.</t>
  </si>
  <si>
    <t xml:space="preserve">Alternativamente los efectos ortogonales pueden calcularse como la raiz cuadrada de la suma de los cuadrados de los efectos </t>
  </si>
  <si>
    <t xml:space="preserve">producidos por el 100% de las fuerzas sismicas actuando independientemente en las dos direcciones ortogonales, asignandole </t>
  </si>
  <si>
    <t xml:space="preserve">el signo que genere resultados mas conservadores </t>
  </si>
  <si>
    <t>AMARRES Y CONTINUIDAD</t>
  </si>
  <si>
    <t>TORSION EN EL PISO</t>
  </si>
  <si>
    <t>Las estructuras tipo pendulo invertido deben diseñarse siguiendo los requisitos de A.3.6.11.</t>
  </si>
  <si>
    <t>Los elementos verticales discontinuo deben diseñarse siguiendo los requisitos de A.3.6.12.</t>
  </si>
  <si>
    <t>EFECTO DE LAS ACELERACIONES VERTICALES</t>
  </si>
  <si>
    <t>En zonas de amenaza sismica alta e intermedia deben considerar los efectos verticales de sismo en los siguientes elementos:</t>
  </si>
  <si>
    <t>En voladizos considerando una fuerza vertical ascendente o descendente en la punta del elemento igual al 30% (alta)</t>
  </si>
  <si>
    <t>o 15% (intermedia) de la carga muerta del voladizo</t>
  </si>
  <si>
    <t>En elementos de concreto presforzado.</t>
  </si>
  <si>
    <t>MODELO MATEMATICO</t>
  </si>
  <si>
    <t xml:space="preserve">GENERALIDADES </t>
  </si>
  <si>
    <t>El modelo matematico a utilizar es:</t>
  </si>
  <si>
    <t>MASA DE LA EDIFICACION</t>
  </si>
  <si>
    <t>esta se vea sometida a los movimientos sismicos de diseño.</t>
  </si>
  <si>
    <t>La distribucion de la masa de la edificacion debe representar la distribucion real de las distintas masas.</t>
  </si>
  <si>
    <t>ANALISIS DINAMICO ESPECTRAL</t>
  </si>
  <si>
    <r>
      <t xml:space="preserve">(a) </t>
    </r>
    <r>
      <rPr>
        <i/>
        <sz val="10"/>
        <rFont val="Arial"/>
        <family val="2"/>
      </rPr>
      <t>Obtención de los modos de vibración: (Requisitos A.5.4.2)</t>
    </r>
  </si>
  <si>
    <r>
      <t>(b)</t>
    </r>
    <r>
      <rPr>
        <i/>
        <sz val="10"/>
        <rFont val="Arial"/>
        <family val="2"/>
      </rPr>
      <t xml:space="preserve"> Respuesta espectral modal:  (Espectro definido en A.5.3.2)</t>
    </r>
  </si>
  <si>
    <r>
      <t>(c) </t>
    </r>
    <r>
      <rPr>
        <i/>
        <sz val="10"/>
        <rFont val="Arial"/>
        <family val="2"/>
      </rPr>
      <t>Respuesta total: (Requisitos A.5.4.4)</t>
    </r>
  </si>
  <si>
    <r>
      <t>(d) </t>
    </r>
    <r>
      <rPr>
        <i/>
        <sz val="10"/>
        <rFont val="Arial"/>
        <family val="2"/>
      </rPr>
      <t>Ajuste de los resultados: (Requisitos A.5.4.5)</t>
    </r>
  </si>
  <si>
    <r>
      <t>(e)</t>
    </r>
    <r>
      <rPr>
        <sz val="10"/>
        <rFont val="Arial"/>
        <family val="2"/>
      </rPr>
      <t> </t>
    </r>
    <r>
      <rPr>
        <i/>
        <sz val="10"/>
        <rFont val="Arial"/>
        <family val="2"/>
      </rPr>
      <t>Evaluación de derivas:</t>
    </r>
    <r>
      <rPr>
        <sz val="10"/>
        <rFont val="Arial"/>
        <family val="2"/>
      </rPr>
      <t xml:space="preserve"> </t>
    </r>
  </si>
  <si>
    <r>
      <t>(f)</t>
    </r>
    <r>
      <rPr>
        <sz val="10"/>
        <rFont val="Arial"/>
        <family val="2"/>
      </rPr>
      <t> </t>
    </r>
    <r>
      <rPr>
        <i/>
        <sz val="10"/>
        <rFont val="Arial"/>
        <family val="2"/>
      </rPr>
      <t>Fuerzas de diseño de los elementos</t>
    </r>
  </si>
  <si>
    <r>
      <t>(g)</t>
    </r>
    <r>
      <rPr>
        <sz val="10"/>
        <rFont val="Arial"/>
        <family val="2"/>
      </rPr>
      <t> </t>
    </r>
    <r>
      <rPr>
        <i/>
        <sz val="10"/>
        <rFont val="Arial"/>
        <family val="2"/>
      </rPr>
      <t>Diseño de los elementos estructurales</t>
    </r>
  </si>
  <si>
    <t>NUMERO DE MODOS DE VIBRACION</t>
  </si>
  <si>
    <t>La participación de la masa acumulada de la estructura en cada modo de vibracion y su respectivo períodos son:</t>
  </si>
  <si>
    <t>Se puede observar que la participacion total de masa en cada una de las direcciones es superior al 90% de la masa total.</t>
  </si>
  <si>
    <t>CALCULO DEL CORTANTE MODAL EN LA BASE</t>
  </si>
  <si>
    <r>
      <t>El cortante sísmico en la base total en la dirección horizontal j, V</t>
    </r>
    <r>
      <rPr>
        <vertAlign val="subscript"/>
        <sz val="10"/>
        <rFont val="Arial"/>
        <family val="2"/>
      </rPr>
      <t>tj</t>
    </r>
    <r>
      <rPr>
        <sz val="10"/>
        <rFont val="Arial"/>
        <family val="2"/>
      </rPr>
      <t xml:space="preserve">, se obtiene combinando los cortantes contribuidos por cada </t>
    </r>
  </si>
  <si>
    <t>modo, Vmj, en la misma dirección de acuerdo con el procedimiento descrito en A.5.4.4.</t>
  </si>
  <si>
    <t>COMBINACION DE LOS MODOS</t>
  </si>
  <si>
    <t>No es permitivo obtener las derivas totales a partir de delflexiones horizontales que ya han sido combinadas.</t>
  </si>
  <si>
    <t>AJUSTE DE LOS RESULTADOS</t>
  </si>
  <si>
    <t>ESPECTRO</t>
  </si>
  <si>
    <t>U1</t>
  </si>
  <si>
    <t>U2</t>
  </si>
  <si>
    <t>V_u1</t>
  </si>
  <si>
    <t>V_u2</t>
  </si>
  <si>
    <t>El cortante sismico obtenido de los analisis es:</t>
  </si>
  <si>
    <t>El cortante sismico total en cada direccion ortogonal es:</t>
  </si>
  <si>
    <t>V_total</t>
  </si>
  <si>
    <t>[KN]</t>
  </si>
  <si>
    <t>Irregularidad en altura</t>
  </si>
  <si>
    <t>Porcentaje a utilizar en el ajuste del cortante sismico de la base</t>
  </si>
  <si>
    <t>V_FHA</t>
  </si>
  <si>
    <t>V_Ajuste</t>
  </si>
  <si>
    <t>Factor de correccion de la gravedad</t>
  </si>
  <si>
    <t>Si el cortante obtenido es mayor que los valores indicados, el diseñador podra reducir los resultados a su criterio.</t>
  </si>
  <si>
    <t>COEFICIENTE DE CAPACIDAD DE DISIPACION DE ENERGIA</t>
  </si>
  <si>
    <t>Cuando una edificacion tiene varios tipos de irregularidad se aplicara el menor valor de coeficiente de reduccion.</t>
  </si>
  <si>
    <t>VALORES DE LA GRAVEDAD AJUSTADOS PARA EL MODELO MATEMATICO</t>
  </si>
  <si>
    <t>[m/s2]</t>
  </si>
  <si>
    <t>9. DESPLAZAMIENTOS HORIZONTALES</t>
  </si>
  <si>
    <t>10. VERIFICACION DE DERIVAS</t>
  </si>
  <si>
    <t xml:space="preserve">Comprobacion de que las derivas de diseño obtenidas no exceden los limites dados en el Capitulo A.6. Si la estructura excede los limites de </t>
  </si>
  <si>
    <t>Corresponden a las efectos adicionales en las dos direcciones en planta, causados por los efectos de segundo orden de la estructura. Los</t>
  </si>
  <si>
    <t>efectos P-Delta producen un aumento en las deflexiones horizontales y en las fuerzas internas de la estructura. Estos efectos deben tenerse</t>
  </si>
  <si>
    <t>en cuenta cuando el indice de estabilidad Q es mayor a 0.10.</t>
  </si>
  <si>
    <t>El indice de estabilidad para el piso i, en la direccion bajo estudio, se calcula por medio de la siguiente ecuacion:</t>
  </si>
  <si>
    <r>
      <rPr>
        <sz val="10"/>
        <rFont val="Symbol"/>
        <family val="1"/>
        <charset val="2"/>
      </rPr>
      <t>D</t>
    </r>
    <r>
      <rPr>
        <sz val="14"/>
        <rFont val="Arial"/>
        <family val="2"/>
      </rPr>
      <t xml:space="preserve"> cm</t>
    </r>
  </si>
  <si>
    <t>V i</t>
  </si>
  <si>
    <t>h pi</t>
  </si>
  <si>
    <t xml:space="preserve">P i </t>
  </si>
  <si>
    <t>Altura del piso i, medida desde la superficie del diafragma del piso i hasta la superficie del diafragma del piso inferior i-1</t>
  </si>
  <si>
    <t>A continuacion se presentan las derivas obtenidas del analisis estructural. Se evaluan de acuerdo con A.6.3.1.1.</t>
  </si>
  <si>
    <t>No hay limites de deriva en edificaciones de 1 piso, siempre que los muros y las particiones interiores y exteriores, asi como los cielos rasos</t>
  </si>
  <si>
    <t>se diseñen para acomodar las derivas de piso. (seccion A.6.4.1.5)</t>
  </si>
  <si>
    <t xml:space="preserve">Las diferentes solicitaciones que deben ser tenidas en cuenta, se combinan para obtener las fuerzas internas de diseño de la estructura, de </t>
  </si>
  <si>
    <t>acuerdo con los requisitos del Capitulo B.2 de la NSR-10.</t>
  </si>
  <si>
    <t xml:space="preserve">El método de diseño de la estructura de la edificacion es el de los estados límites de servicio y resistencia, para el cual se emplean las </t>
  </si>
  <si>
    <t>siguientes combinaciones de carga para verificar deformaciones y para dimensionar los elementos de cimentación requeridos: (NSR-10 B.2.3)</t>
  </si>
  <si>
    <t>Deben considerar los efectos mas desfavorables para viento y sismo</t>
  </si>
  <si>
    <t>Las fuerzas sismicas reducidas E, corresponden a la fuerza sismica Fs, divididos por R.</t>
  </si>
  <si>
    <t>siguientes combinaciones de carga para diseñar los componentes de la estructura y su cimentacion: (NSR-10 B.2.4)</t>
  </si>
  <si>
    <t xml:space="preserve">Se puede reducir a 0.5 el factor de carga viva L en las combinacions CU3 a CU5, excepto en losas de parqueadero, areas ocupadas como </t>
  </si>
  <si>
    <t>lugares de reunion publica y en todas las areas donde la carga viva sea superior a 4.8KN/m2</t>
  </si>
  <si>
    <t>Se lleva a cabo de acuerdo con los requisitos propios del sistema de resistencia sismica y del material utilizado.</t>
  </si>
  <si>
    <t>Deben diseñarse para los requisitos propios del grado de disipacion de energia (DMI), (DMO) o (DES) según corresponde, lo cual</t>
  </si>
  <si>
    <t xml:space="preserve">permite a la estructura responder ante la ocurrencia de un sismo, en el rango inelastico de respuesta y cumplir con los objetivos de las </t>
  </si>
  <si>
    <t>normas sismorresistentes.</t>
  </si>
  <si>
    <t>este informe.</t>
  </si>
  <si>
    <t xml:space="preserve">Los efectos de las diferentes solicitaciones, incluyendo los efectos de los movimientos sismicos de diseño sobre los elementos de la </t>
  </si>
  <si>
    <t>cimentacion y el suelo de soporte se obtienen asi:</t>
  </si>
  <si>
    <t xml:space="preserve">(a) Para efectos del diseño estructural de los elementos que componen la cimentacion, se emplean los resultados de las combinaciones del </t>
  </si>
  <si>
    <t xml:space="preserve">Capitulo 11 de resistencia ultima de este documento con las fuerzas sismicas reducidas E. Se deben tener en cuenta los requisitos propios de </t>
  </si>
  <si>
    <t>cada material estructural.</t>
  </si>
  <si>
    <t>(b) Para efectos de obtener los esfuerzos sobre el suelo de cimentacion, se emplean las combinaciones de carga para estados limites</t>
  </si>
  <si>
    <t>de servicio utilizando las fuerzas sismicas reducidas E. Deben evaluarse los efectos de acuerdo con los requisitos del titulo H.</t>
  </si>
  <si>
    <t>El diseño sismico de los elementos no estructurales debe realizarse de acuerdo con el Capitulo A.9 de la NSR-10.</t>
  </si>
  <si>
    <t>Esp. Rta. sin tener en cuenta la torsion accidental</t>
  </si>
  <si>
    <r>
      <t xml:space="preserve">Muros agrietados 0.35 Ig; 1.4*0.35 Ig = 0.49 Ig. </t>
    </r>
    <r>
      <rPr>
        <b/>
        <sz val="10"/>
        <rFont val="Arial"/>
        <family val="2"/>
      </rPr>
      <t>Para el analisis se toma 1.0 Ig</t>
    </r>
  </si>
  <si>
    <r>
      <t xml:space="preserve">Vigas 0.35 Ig; 1.4*0.35 Ig = 0.49 Ig. </t>
    </r>
    <r>
      <rPr>
        <b/>
        <sz val="10"/>
        <rFont val="Arial"/>
        <family val="2"/>
      </rPr>
      <t>Para el analisis se toma 1.0 Ig</t>
    </r>
  </si>
  <si>
    <r>
      <t xml:space="preserve">Placas planas y losas planas 0.25 Ig; 1.4*0.25 Ig = 0.35 Ig. </t>
    </r>
    <r>
      <rPr>
        <b/>
        <sz val="10"/>
        <rFont val="Arial"/>
        <family val="2"/>
      </rPr>
      <t>Para el analisis se toma 1.0 Ig</t>
    </r>
  </si>
  <si>
    <t>m</t>
  </si>
  <si>
    <t>°</t>
  </si>
  <si>
    <t>KN/m2</t>
  </si>
  <si>
    <t>Modal</t>
  </si>
  <si>
    <t>Caso modal</t>
  </si>
  <si>
    <t>A.6.4-1. (Seccion A.6.4.1.1) (No aplica)</t>
  </si>
  <si>
    <t>Deriva maxima obtenida:</t>
  </si>
  <si>
    <t>Deriva maxima permisible:</t>
  </si>
  <si>
    <t>mm</t>
  </si>
  <si>
    <t>13. COMBINACIONES DE LAS DIFERENTES SOLICITACIONES</t>
  </si>
  <si>
    <t>13.1 COMBINACIONES DE CARGA PARA VERIFICACIONES DEL ESTADO LIMITE DE SERVICIO</t>
  </si>
  <si>
    <t>13.2 COMBINACIONES DE CARGA MAYORADAS USANDO EL METODO DE RESISTENCIA</t>
  </si>
  <si>
    <t>14. DISEÑO DE ELEMENTOS ESTRUCTURALES</t>
  </si>
  <si>
    <t>15. DISEÑO DE LA CIMENTACION</t>
  </si>
  <si>
    <t>16. DISEÑO SISMICO DE LOS ELEMENTOS NO ESTRUCTURALES</t>
  </si>
  <si>
    <t>El diseño debe realizarse para los valores mas desfavorables obtenidos a partir de las combinaciones de carga obtenidas del capitulo 13 de</t>
  </si>
  <si>
    <t>DESPLAZAMIENTOS HORIZONTALES CAUSADOS POR EFECTO P-DELTA</t>
  </si>
  <si>
    <t>Modelo tridimensional con diafragma rigido</t>
  </si>
  <si>
    <t>Como NO se utilizan secciones fisuradas, las derivas NO pueden multiplicarse por 0.70 antes de hacer la comparacion con los limites de la tabla</t>
  </si>
  <si>
    <r>
      <t>W</t>
    </r>
    <r>
      <rPr>
        <sz val="10"/>
        <rFont val="Arial"/>
        <family val="2"/>
      </rPr>
      <t xml:space="preserve"> =</t>
    </r>
  </si>
  <si>
    <t>SPECX</t>
  </si>
  <si>
    <t>SPECY</t>
  </si>
  <si>
    <t>SE UTILIZA PARA COMB DERIVAS COMO ELASX</t>
  </si>
  <si>
    <t>SE UTILIZA PARA COMB DERIVAS COMO ELASY</t>
  </si>
  <si>
    <t>SE UTILIZA PARA COMB ULT Y CIM COMO DISX</t>
  </si>
  <si>
    <t>UX</t>
  </si>
  <si>
    <t>PISO</t>
  </si>
  <si>
    <t>MASA</t>
  </si>
  <si>
    <t>SE UTILIZA PARA COMB ULT Y CIM COMO DISY</t>
  </si>
  <si>
    <t>ELASX</t>
  </si>
  <si>
    <t>ELASY</t>
  </si>
  <si>
    <t>V_U1</t>
  </si>
  <si>
    <t>V_U2</t>
  </si>
  <si>
    <t>V_TOTAL</t>
  </si>
  <si>
    <t>VERIFICACION</t>
  </si>
  <si>
    <t>VERIFICACION EXCEPCIONES A IRREGULARIDADES EN ALTURA (A.3.3.5.1)</t>
  </si>
  <si>
    <t>Deriva de cualquier piso debe ser menor que 1.3 veces la deriva del piso siguiente hacia arriba.</t>
  </si>
  <si>
    <t>Máx. de Delta_i,x2</t>
  </si>
  <si>
    <t>Máx. de Delta_i,y2</t>
  </si>
  <si>
    <t>1.3*DerX Piso i+1</t>
  </si>
  <si>
    <t>1.3*DerY Piso i+1</t>
  </si>
  <si>
    <t>Verificacion X</t>
  </si>
  <si>
    <t>Verificacion Y</t>
  </si>
  <si>
    <t>Estructuras, regulares e irregulares, localziadas en sitios que tengan un perfil de suelo D, E o F y que tengan periodo mayor de 2Tc. En este caso</t>
  </si>
  <si>
    <t xml:space="preserve">el analisis debe incluir los efectos de interaccion suelo-estructura, tal y como los prescribe el Capitulo A.7, cuando se realice un analisis de </t>
  </si>
  <si>
    <t>de la estructura suponiendola empotrada en su base.</t>
  </si>
  <si>
    <t>Obtenido del espectro</t>
  </si>
  <si>
    <t>2*Tc =</t>
  </si>
  <si>
    <t>Cálculo de carga sobre la viga de las escaleras</t>
  </si>
  <si>
    <t>Peso concreto</t>
  </si>
  <si>
    <t>KN/m3</t>
  </si>
  <si>
    <t>Ancho escaleras</t>
  </si>
  <si>
    <t>Altura escaleras</t>
  </si>
  <si>
    <t>Espesor losa</t>
  </si>
  <si>
    <t>PELDAÑOS</t>
  </si>
  <si>
    <t>Contrahuella</t>
  </si>
  <si>
    <t>huella</t>
  </si>
  <si>
    <t>Vol_peldaños</t>
  </si>
  <si>
    <t>m3</t>
  </si>
  <si>
    <t>Peso peldaños</t>
  </si>
  <si>
    <t>KN/m</t>
  </si>
  <si>
    <t>LOSA</t>
  </si>
  <si>
    <t>Acabados</t>
  </si>
  <si>
    <t>Cargas vivas</t>
  </si>
  <si>
    <t>Carga viva</t>
  </si>
  <si>
    <t>UY</t>
  </si>
  <si>
    <t>Sentido X</t>
  </si>
  <si>
    <t>Sentido Y</t>
  </si>
  <si>
    <t>Ausencia de redundancia Dir X</t>
  </si>
  <si>
    <t>Ausencia de redundancia Dir Y</t>
  </si>
  <si>
    <t>TABLE:  Modal Participating Mass Ratios</t>
  </si>
  <si>
    <t>Case</t>
  </si>
  <si>
    <t>Mode</t>
  </si>
  <si>
    <t>Period</t>
  </si>
  <si>
    <t>sec</t>
  </si>
  <si>
    <t>RZ</t>
  </si>
  <si>
    <r>
      <t xml:space="preserve">El período fundamental de la edificacion </t>
    </r>
    <r>
      <rPr>
        <b/>
        <sz val="10"/>
        <rFont val="Arial"/>
        <family val="2"/>
      </rPr>
      <t>T</t>
    </r>
    <r>
      <rPr>
        <sz val="10"/>
        <rFont val="Arial"/>
        <family val="2"/>
      </rPr>
      <t xml:space="preserve"> fue obtenido a partir del modelo matematico linealmente elastico de </t>
    </r>
    <r>
      <rPr>
        <sz val="10"/>
        <rFont val="Arial"/>
        <family val="2"/>
      </rPr>
      <t>la estructura:</t>
    </r>
  </si>
  <si>
    <t>AJUSTE DE RESULTADOS DEL ANALISIS MODAL</t>
  </si>
  <si>
    <t>Para efectos de calcular el valor de Vs, el periodo fundamental de la estructura obtenido en el analisis dinamico, T (seg), no debe exceder Cu*Ta</t>
  </si>
  <si>
    <t>Direccion</t>
  </si>
  <si>
    <t>T limite</t>
  </si>
  <si>
    <t>Verificacion A.5.4.5 (a)</t>
  </si>
  <si>
    <t>Aceleración espectral para la direccion</t>
  </si>
  <si>
    <t>Cortante sísmico en la base para la direcc.</t>
  </si>
  <si>
    <t>Mmj = Masa que vibra, calculada según Ecuacion (A.5.4-2)</t>
  </si>
  <si>
    <t>Ausencia de redundancia</t>
  </si>
  <si>
    <t>Direcc XX</t>
  </si>
  <si>
    <t>Direcc YY</t>
  </si>
  <si>
    <t>Tux</t>
  </si>
  <si>
    <t>Tuy</t>
  </si>
  <si>
    <t>FHEX</t>
  </si>
  <si>
    <t>FHEY</t>
  </si>
  <si>
    <t>Estos resultados se comparan con los calculados anteriormente y se toma el mayor valor de ambos:</t>
  </si>
  <si>
    <t>De acuerdo con el Capítulo B.6.5 la estructura se clasifica como cerrada o parcialmente cerrada con h &gt; 18m.</t>
  </si>
  <si>
    <t>Perido aproximado Ta para la dirección X</t>
  </si>
  <si>
    <t>Perido aproximado Ta para la dirección Y</t>
  </si>
  <si>
    <r>
      <t>Cu*T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(s) X =</t>
    </r>
  </si>
  <si>
    <r>
      <t>Cu*T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(s) Y =</t>
    </r>
  </si>
  <si>
    <t xml:space="preserve">Rx / Ry </t>
  </si>
  <si>
    <t>Rx</t>
  </si>
  <si>
    <t>SIN P-DELTA</t>
  </si>
  <si>
    <t>PESO TOTAL PARTE PLANA</t>
  </si>
  <si>
    <t>VERIFICACIÓN PARA DESPRECIAR LAS IRREGULARIDADES EN ALTURA PISOS MEDIOS</t>
  </si>
  <si>
    <r>
      <t>W</t>
    </r>
    <r>
      <rPr>
        <vertAlign val="subscript"/>
        <sz val="10"/>
        <rFont val="Arial"/>
        <family val="2"/>
      </rPr>
      <t>muro no est</t>
    </r>
    <r>
      <rPr>
        <sz val="10"/>
        <rFont val="Arial"/>
        <family val="2"/>
      </rPr>
      <t xml:space="preserve"> =</t>
    </r>
  </si>
  <si>
    <t xml:space="preserve">Se ejecuta el analisis de Fuerza Horizontal Equivalente en el software de analisis utilizando los coeficientes para la </t>
  </si>
  <si>
    <t>aceleracion espectral obteniendo los siguientes resultados:</t>
  </si>
  <si>
    <t>No se considera</t>
  </si>
  <si>
    <t xml:space="preserve">Se localiza el lugar donde se construirá la edificación dentro de los mapas de zonificación sísmica dados en el Capitulo A.2 de la NSR-10 y en </t>
  </si>
  <si>
    <t xml:space="preserve">determinar el nivel de amenaza sísmica del lugar, de acuerdo con los valores de los parámetros Aa y Av obtenidos en los mapas de zonificación </t>
  </si>
  <si>
    <t xml:space="preserve">sísmica del Capitulo A.2. El nivel de amenaza sísmica se clasificará como alta, intermedia o baja. En el Apéndice A-4 se presenta una </t>
  </si>
  <si>
    <t>enumeración de los municipios colombianos, con su definición de la zona de amenaza sísmica y los valores de los parámetros Aa y Av.</t>
  </si>
  <si>
    <t xml:space="preserve">Con las dimensiones de los elementos de la estructura definidas como resultado del paso 1, se evalúan todas las solicitaciones que pueden </t>
  </si>
  <si>
    <t xml:space="preserve">afectar la edificación de acuerdo con los requisitos del Titulo B de la NSR-10. Estas incluyen: el efecto gravitacional de la masa de los elementos </t>
  </si>
  <si>
    <t xml:space="preserve">estructurales, o peso propio, las cargas de acabados y elementos no estructurales, las cargas vivas, las fuerzas de viento, las deformaciones </t>
  </si>
  <si>
    <t xml:space="preserve">impuestas por las fuerzas de viento, las deformaciones impuestas por efectos reológicos de los materiales estructurales y asentamientos del </t>
  </si>
  <si>
    <t xml:space="preserve">suelo que da apoyo a la fundación. Así mismo se debe determinar la masa de la edificación y su contenido cuando así lo exige la NSR-10, la </t>
  </si>
  <si>
    <t xml:space="preserve">Definición del sistema estructural, dimensiones tentativas para evaluar preliminarmente las diferentes solicitaciones tales como: la masa de la </t>
  </si>
  <si>
    <t xml:space="preserve">estructura, las cargas muertas, las cargas vivas, los efectos sísmicos, y las fuerzas de viento. Estas dimensiones preliminares se coordinan </t>
  </si>
  <si>
    <t>con los otros profesionales que participan en el diseño.</t>
  </si>
  <si>
    <t xml:space="preserve">Deben definirse unos movimientos sísmicos de diseño en el lugar de la edificación, de acuerdo con los requisitos del Capitulo A.2 de la NSR-10 </t>
  </si>
  <si>
    <t>y, en el caso de Edificaciones cubiertas por A.1.2.3.3 (Grupo III y IV), con los requisitos del Capitulo A.12 de la NSR-10, tomando en cuenta:</t>
  </si>
  <si>
    <t>(c ) La imporancia de la edificacion para la recuperacion de la comunidad con posterioridad a la ocurrencia de un sismo a través de I.</t>
  </si>
  <si>
    <t xml:space="preserve">Las caracteristicas de los movimientos sismicos de diseño se expresan por medio de un espectro elastico de diseño, una familia de </t>
  </si>
  <si>
    <t>acelerogramas o resultados de una microzonificacion sismica.</t>
  </si>
  <si>
    <r>
      <t>T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 Período de vibración, en segundos, correspondiente al inicio de la zona de desplazamiento</t>
    </r>
    <r>
      <rPr>
        <sz val="10"/>
        <rFont val="Arial"/>
        <family val="2"/>
      </rPr>
      <t xml:space="preserve"> aproximadamente constante del espectro de </t>
    </r>
  </si>
  <si>
    <t xml:space="preserve">       diseño, para períodos largos. (NSR-10 A.2.6).</t>
  </si>
  <si>
    <r>
      <t>T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 xml:space="preserve"> = Período de vibración, en segundos, correspondiente a la transición entre la zona de aceleración constante</t>
    </r>
    <r>
      <rPr>
        <sz val="10"/>
        <rFont val="Arial"/>
        <family val="2"/>
      </rPr>
      <t xml:space="preserve">del espectro de diseño, para </t>
    </r>
  </si>
  <si>
    <t xml:space="preserve">       períodos cortos, y la parte descendiente del mismo. (Véase A.2.6).</t>
  </si>
  <si>
    <r>
      <t>T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 xml:space="preserve"> = Período de vibración correspondiente al inicio de la zona de aceleración constante del espectro de</t>
    </r>
    <r>
      <rPr>
        <sz val="10"/>
        <rFont val="Arial"/>
        <family val="2"/>
      </rPr>
      <t xml:space="preserve"> diseño, para periodos largos. </t>
    </r>
  </si>
  <si>
    <t xml:space="preserve">El sistema estructural de resistencia sismica de la edificacion debe clasificarse dentro de uno de los sistemas estructurales prescritos en el </t>
  </si>
  <si>
    <t xml:space="preserve">Capitulo A.3: sistema de muros de carga, sistema combinado, sistema de portico, o sistema dual. Se definen las limitaciones del empleo de </t>
  </si>
  <si>
    <t xml:space="preserve">estos sistemas estructurales de resistencia sísmica en función de la zona de amenaza sismica donde se encuentra localizada la edificacion, </t>
  </si>
  <si>
    <t xml:space="preserve">del tipo de material utilizado, de la forma misma como se disponga en los elementos estructurales según esté en posibilidad de responder </t>
  </si>
  <si>
    <t xml:space="preserve">adecuadamente ante movimientos sismicos por medio de su capacidad de disipacion de energia la cual puede ser Especial (DES), Moderada </t>
  </si>
  <si>
    <t>(DMO) o minima (DMI), de la altura de la edificacion y de su grado de irregularidad.</t>
  </si>
  <si>
    <r>
      <t>Se obtienen las fuerzas sísmicas elásticas F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, que deben aplicarse a la estructura de acuerdo con los movimientos sismicos</t>
    </r>
    <r>
      <rPr>
        <sz val="10"/>
        <rFont val="Arial"/>
        <family val="2"/>
      </rPr>
      <t xml:space="preserve"> de diseño definidos </t>
    </r>
  </si>
  <si>
    <t xml:space="preserve">La masa de la edificacion que se utilizan en el analisis dinamico deben ser representativas de las masas que existirán en la edificación cuando </t>
  </si>
  <si>
    <t>En este caso se considera el peso propio de estructura, carga de acabados y de elementos no estructurales y el peso de equipos permanentes.</t>
  </si>
  <si>
    <t xml:space="preserve">De la masa anterior, se descuenta la masa de los elementos modelados que no participan en los modos de vibracion, especificamente se </t>
  </si>
  <si>
    <t xml:space="preserve">descuenta donde aplica: la mitad de la masa de las columnas y muros del primer piso, las vigas de cimentacion y todos los elementos de </t>
  </si>
  <si>
    <t>contencion y de la cimentacion modelados.</t>
  </si>
  <si>
    <t xml:space="preserve">El valor del perodo fundamental de la edificacion T, debe obtenerse a partir de las propiedades de su sistema de resistencia sismica, en la </t>
  </si>
  <si>
    <t xml:space="preserve">direccion bajo consideracion, de acuerdo con los principios de la dinamica estructural, utilizando un modelo matematico linealmente elastico de </t>
  </si>
  <si>
    <t>la estructura, o mediante la ecuacion (A.4.2-1) de la NSR-10.</t>
  </si>
  <si>
    <t>El valor de T no puede exceder Cu*Ta donde Cu se calcula por medio de la ecuacion A.4.2-2 y Ta se calcula de acuerdo con A.4.2-3.</t>
  </si>
  <si>
    <t xml:space="preserve">El analisis sismico se lleva a cabo aplicando los movimientos sismicos de diseño calculados en el Capitulo 4 de este informea un modelo </t>
  </si>
  <si>
    <t xml:space="preserve">matematico apropiado de la estructura. Este analisis se realiza para los movimientos sismicos de diseño sin ser divididos por el coeficiente de </t>
  </si>
  <si>
    <t xml:space="preserve">disipacion de energia R y se hace por el metodo definido en el Capitulo 6 de este informe. Se obtienen los desplazamientos maximos que </t>
  </si>
  <si>
    <t>imponen los movimientos sismicos de diseño a la estructura y las fuerzas internas que se derivan de ellos.</t>
  </si>
  <si>
    <t xml:space="preserve">Las rigideces que se empleen en el analisis estructural para el diseño sismico deben ser definidas por el ingeniero diseñador de acuerdo con su </t>
  </si>
  <si>
    <t>criterio, teniendo en cuenta los preceptos dados para cada material estructural.</t>
  </si>
  <si>
    <t xml:space="preserve">De acuerdo con C.8.8, la rigidez a utilizar para calcular las deflexiones laterales de los sistemas estructurales de concreto reforzado pueden </t>
  </si>
  <si>
    <t>calcularse mediante un analisis lineal usando una rigidez de los elementos calculada como 1.4 veces la rigidez a flexion definida en C.8.8.2.</t>
  </si>
  <si>
    <t>De acuerdo con C.8.8.2, la rigidez de los elementos se define por las propiedades de las secciones definidas en C.10.10.4.1 (a) hasta (c ).</t>
  </si>
  <si>
    <t xml:space="preserve">De acuerdo con C.9.5, los elementos de concreto sometidos a flexion deben diseñarse para que tengan una rigidez adecuada con el fin de limitar </t>
  </si>
  <si>
    <t>cualquier deflexion que pudiese afectar adversamente su resistencia o funcionamiento.</t>
  </si>
  <si>
    <t xml:space="preserve">Cuando se calculen las delfexiones, deben utilizarse metodos o formulas usuales para deflexiones elasticas, tomando en consideracion los </t>
  </si>
  <si>
    <t>efectos de la fisuracion y del refuerzo en la rigidez del elemento. (C.9.5.2.2)</t>
  </si>
  <si>
    <t xml:space="preserve">Las deflexiones deben calcularse usando el modulo de elasticidad especificado en C.8.5.1 y el momento de inercia efectivo (Ie) que se indica en </t>
  </si>
  <si>
    <t>C.9.5.2.3 sin tomarlo mayor que Ig.</t>
  </si>
  <si>
    <t xml:space="preserve">Solamente los elementos que pertenecen al sistema estructural de resistencia sismica pueden contribuir a la resistencia sismica de la edificacion </t>
  </si>
  <si>
    <t>y deben diseñarse de acuerdo con los requisitos propios de cada material para el grado de capacidad de disipacion de energia requerido.</t>
  </si>
  <si>
    <t xml:space="preserve">Los elementos que no formen parte del sistema estructural de resistencia sismica, deben resistir cargas cuando son sometidos a sismo y solo </t>
  </si>
  <si>
    <t xml:space="preserve">hay necesidad de que cumplan con los requisitos del grado de capacidad de disipacion de energia minimo para su material estructural. Sus </t>
  </si>
  <si>
    <t>anclajes y amarres deben cumplir con el capitulo A.8 de la NSR-10.</t>
  </si>
  <si>
    <t xml:space="preserve">Los elementos localizados entre la base y la cimentacion deben tener el mismo grado de disipacion de energia que los elementos de resistencia </t>
  </si>
  <si>
    <t>sismica.</t>
  </si>
  <si>
    <t xml:space="preserve">Los muros estructurales de concreto y mamposteria, exteriores e interiores, deben diseñarse para resistir una fuerza causada por la aceleracion </t>
  </si>
  <si>
    <t xml:space="preserve">en cada piso según la ecuacion (A.3.6-3) no menor a 0.10 Mp g donde Mp es la masa del tramo de muro considerado. Deben amarrarse por </t>
  </si>
  <si>
    <t>medio de anclajes a los diafragmas.</t>
  </si>
  <si>
    <t xml:space="preserve">Cualquier elemento que este vinculado a la estructura, debe estar amarrado y conectado al resto de la edificacion por medio de elementos que </t>
  </si>
  <si>
    <t>resistan las fuerzas de interaccion y como minimo que resistan una fuerza sismica de 0.40 Aa g veces la masa del elemento conectado.</t>
  </si>
  <si>
    <t xml:space="preserve">Los elementos de la cimentacion deben amarrarse por medio de vigas de amarre que esten en capacidad de resistir en tension o compresion una </t>
  </si>
  <si>
    <t xml:space="preserve">fuerza no menor que 0.25 Aa veces la carga vertical total del elemento que tenga la mayor carga entre los que interconecta. </t>
  </si>
  <si>
    <t xml:space="preserve">En el diseño deben tenerse en cuenta los efectos de torsión en el piso, considerando que estos provienen de la incertidumbre en la localización </t>
  </si>
  <si>
    <t xml:space="preserve">de las masas dentro del piso, lo cual conduce a una torsión accidental, o debido a la excentricidad entre el centro de masas y el centro de rigidez </t>
  </si>
  <si>
    <t xml:space="preserve">cuando los diafragmas se consideran rígidos en su propio plano, o de la asimetria en la distribucion de la masa y la rigidez de elemento verticales, </t>
  </si>
  <si>
    <t xml:space="preserve">cuando los diafrgamas no pueden considerarse como rigidos en su propio plano. En caso de realizarse analisis dinamico, este reflejara los efectos </t>
  </si>
  <si>
    <t>de torsiones que se tengan en la estructura, quedando como opcional si se vincula o no la torsion accidental.</t>
  </si>
  <si>
    <r>
      <t>Torsión accidental:</t>
    </r>
    <r>
      <rPr>
        <sz val="10"/>
        <color indexed="8"/>
        <rFont val="Arial"/>
        <family val="2"/>
      </rPr>
      <t xml:space="preserve"> Debe suponerse que la masa de todos los pisos está desplazada transversa</t>
    </r>
    <r>
      <rPr>
        <sz val="10"/>
        <color rgb="FF000000"/>
        <rFont val="Arial"/>
        <family val="2"/>
      </rPr>
      <t xml:space="preserve">lmente, hacia </t>
    </r>
  </si>
  <si>
    <t xml:space="preserve">cualquiera de los dos lados, del centro de masa calculado de cualquier piso, una distancia igual al 5% de la dimensión </t>
  </si>
  <si>
    <t xml:space="preserve">de la edificación en ese piso, medida en la dirección perpendicular a la dirección en estudio. El efecto de la torsión que </t>
  </si>
  <si>
    <t xml:space="preserve">se genera debe tenerse en cuenta en la distribución del cortante del piso a los elementos verticales del sistema de </t>
  </si>
  <si>
    <t>resistencia sísmica.</t>
  </si>
  <si>
    <r>
      <t>Torsión debida a la no coincidencia del centro de masa y del centro de rigidez:</t>
    </r>
    <r>
      <rPr>
        <sz val="10"/>
        <color indexed="8"/>
        <rFont val="Arial"/>
        <family val="2"/>
      </rPr>
      <t xml:space="preserve"> Cuando el diafragma</t>
    </r>
    <r>
      <rPr>
        <b/>
        <sz val="10"/>
        <color indexed="8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puede </t>
    </r>
  </si>
  <si>
    <t xml:space="preserve">considerarse rígido en su propio plano, debe tenerse en cuenta el aumento en los cortantes sobre los elementos </t>
  </si>
  <si>
    <t xml:space="preserve">verticales del sistema de resistencia sísmica debido a la distribución, en planta, de la rigidez de los elementos del </t>
  </si>
  <si>
    <t>sistema de resistencia sísmica.</t>
  </si>
  <si>
    <r>
      <t>Torsión de diseño:</t>
    </r>
    <r>
      <rPr>
        <sz val="10"/>
        <color indexed="8"/>
        <rFont val="Arial"/>
        <family val="2"/>
      </rPr>
      <t xml:space="preserve"> El momento torsional </t>
    </r>
    <r>
      <rPr>
        <sz val="10"/>
        <color rgb="FF000000"/>
        <rFont val="Arial"/>
        <family val="2"/>
      </rPr>
      <t xml:space="preserve">de diseño en cualquier nivel de la estructura se obtiene como la suma de las </t>
    </r>
  </si>
  <si>
    <t xml:space="preserve">torsiones de diseño de todos los niveles localizados por encima del nivel en estudio. La porción de la torsión aportada </t>
  </si>
  <si>
    <t xml:space="preserve">por cada nivel se obtiene como la torsión accidental del nivel, más el producto de la fuerza sísmica horizontal, </t>
  </si>
  <si>
    <t xml:space="preserve">correspondiente a ese nivel por una dimensión igual a la proyección, en la dirección perpendicular a la dirección de las </t>
  </si>
  <si>
    <t>fuerzas, de la distancia entre el centro de masa y el centro de rigidez del nivel.</t>
  </si>
  <si>
    <t xml:space="preserve">Diafragma flexible: cuando la maxima deflexion horizontal dentro del diafragma, al verse sometido a las fuerzas simicas es mas de 2 veces el </t>
  </si>
  <si>
    <t xml:space="preserve">promedio de sus deflexiones horizontales. Se realiza comparando la deflexion horizontal obtenida en el punto medio del diafragma, con el de </t>
  </si>
  <si>
    <t>cada uno de los elementos verticales del sistema.</t>
  </si>
  <si>
    <t xml:space="preserve">Diafragma rigido: cuando se dispone de rigidez y resistencia de tal manera que este actue como una unidad y sus propiedades de masa y rigidez </t>
  </si>
  <si>
    <t xml:space="preserve">se puedan concentrar en el centro de masa y en el centro de rigidez. Si la edificacion tiene irregularidades tipo 2P y 3P, esta consideracion debe </t>
  </si>
  <si>
    <t>evaluarse cuidadosamente puesto que inhiben el comportamiento como diafragma rigido.</t>
  </si>
  <si>
    <t xml:space="preserve">Cuando los pisos y cubiertas actuen como diafrgama en edificaciones localziadas en zonas de amenaza sismica alta e intermedia, los </t>
  </si>
  <si>
    <t>diafragmas deben cumplir los requisitos de A.3.6.8.</t>
  </si>
  <si>
    <t>De acuerdo con C.8.8, la rigidez a utilizar para calcular las deflexiones laterales de los sistemas estructurales de concreto reforzado pueden cal-</t>
  </si>
  <si>
    <t>cularse mediante un analisis lineal usando una rigidez de los elementos calculada como 1.4 veces la rigidez a flexion definida en C.8.8.2. (N Ap)</t>
  </si>
  <si>
    <t>Debe tenerse en cuenta de cualquier manera, que los resultados obtenidos utilizando los métodos de análisis dinámico deben ajustarse a los va-</t>
  </si>
  <si>
    <t xml:space="preserve">lores mínimos referidos a los valores que se obtienen utilizando el método de la fuerza horizontal equivalente definido en el capítulo A.4 de NSR-10. </t>
  </si>
  <si>
    <t xml:space="preserve">El ingeniero diseñador debe asegurarse que los procedimientos de análisis dinámico que utilice, cumplen los principios de la mecánica estructural </t>
  </si>
  <si>
    <t xml:space="preserve">y en especial los requisitos del capítulo A.5 de la NSR-10. El reglamento no exige un procedimiento determinado y deja en manos del diseñador </t>
  </si>
  <si>
    <t xml:space="preserve">su selección y por ende la responsabilidad de que se cumplan los principios. Es responsabilidad del diseñador garantizar que los procedimientos </t>
  </si>
  <si>
    <t>electrónicos, si son utilizados, describan adecuamente la respuesta dinámica de la estructura.</t>
  </si>
  <si>
    <t xml:space="preserve">La masas que se utilicen en el analisis dinamico deben ser representativas de las masas que existirán en la edificacion cuando esta se vea </t>
  </si>
  <si>
    <t>sometida a los movimientos sismicos de diseño.</t>
  </si>
  <si>
    <t xml:space="preserve">Los modos de vibración deben obtenerse utilizando métodologías establecidas de dinámica estructural. Deben utilizarse todos los modos de </t>
  </si>
  <si>
    <t>vibración de la estructura que contribuyan de  una manera significativa a la respuesta dinámica de la misma.</t>
  </si>
  <si>
    <t xml:space="preserve">La respuesta máxima de cada modo se obtiene utilizando las ordenadas del espectro elástico de diseño, para el período de vibración propio </t>
  </si>
  <si>
    <t>del modo.</t>
  </si>
  <si>
    <t xml:space="preserve">Las respuestas máximas modales, incluyendo las de deflexiones, derivas, fuerzas y cortantes en piso, cortantes en base, fuerzas en los </t>
  </si>
  <si>
    <t xml:space="preserve">elementos, se combinan de una manera estadística para obtener la respuesta total de la estructura a los movimientos sísmicos de diseño. </t>
  </si>
  <si>
    <t xml:space="preserve">Los resultados del analisis dinamico deben ser ajustados de acuerdo con los lineamientos presentados. El ajuste debe cubrir todos los resultados </t>
  </si>
  <si>
    <t>del análisis dinámico, incluyendo las deflexiones, derivas, fuerzas y cortantes en piso, cortantes en base, en los elementos.</t>
  </si>
  <si>
    <t>Se debe evaluar que las derivas totales obtenidas luego de hacer los ajustes según A.5.4.5, sean inferiores a los limites establecidos en A.6.</t>
  </si>
  <si>
    <t xml:space="preserve">Las fuerzas sismicas totales de los elementos Fs, ajustadas según A.5.4.5, se dividen por el coeficiente de capacidad de disipacion de energia R, </t>
  </si>
  <si>
    <t xml:space="preserve">modificado de acuerdo con irregularidades en planta y altura y la ausencia de redundancia para obtener las fuerzas sismicas reducidas de diseño </t>
  </si>
  <si>
    <t>E, las cuales son combinadas con las otras cargas prescritas.</t>
  </si>
  <si>
    <t>Los elementos se diseñan y detallan siguiendo los requisitos propios del grado de disipacion de energia correspondiente del material.</t>
  </si>
  <si>
    <t xml:space="preserve">Se considera que en el análisis dinámico se han incluido todos los modos de vibración que contribuyen de una manera significativa a la respuesta </t>
  </si>
  <si>
    <t xml:space="preserve">dinámica de la estructura, cuando se demuestra que, con el número de modos empleados, p, se ha incluido en el cálculo de la respuesta, de </t>
  </si>
  <si>
    <t>cada una de las direcciones horizontales principales, j, por lo menos el 90% de la masa participante de la estructura. La masa participante, Mj,</t>
  </si>
  <si>
    <t xml:space="preserve"> en cada una de las direcciones principales, j, para el número de modos empleados, p, se determina por medio de las siguientes ecuaciones:</t>
  </si>
  <si>
    <r>
      <t>f</t>
    </r>
    <r>
      <rPr>
        <vertAlign val="subscript"/>
        <sz val="10"/>
        <rFont val="Arial"/>
        <family val="2"/>
      </rPr>
      <t>ijm</t>
    </r>
    <r>
      <rPr>
        <sz val="10"/>
        <rFont val="Arial"/>
        <family val="2"/>
      </rPr>
      <t xml:space="preserve"> = Amplitud de desplazamiento del nivel i, en la dirección j, cuando está vibrando en el modo m.</t>
    </r>
  </si>
  <si>
    <r>
      <t>S</t>
    </r>
    <r>
      <rPr>
        <vertAlign val="subscript"/>
        <sz val="10"/>
        <rFont val="Arial"/>
        <family val="2"/>
      </rPr>
      <t>am</t>
    </r>
    <r>
      <rPr>
        <sz val="10"/>
        <rFont val="Arial"/>
        <family val="2"/>
      </rPr>
      <t xml:space="preserve"> = Valor leído del espectro elástico de aceleraciones, S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>, para el período de vibración T correspondiente al modo de vibración m.</t>
    </r>
  </si>
  <si>
    <r>
      <t>La parte del cortante en la base contribuida por el modo m en la dirección horizontal j, V</t>
    </r>
    <r>
      <rPr>
        <vertAlign val="subscript"/>
        <sz val="10"/>
        <rFont val="Arial"/>
        <family val="2"/>
      </rPr>
      <t>mj</t>
    </r>
    <r>
      <rPr>
        <sz val="10"/>
        <rFont val="Arial"/>
        <family val="2"/>
      </rPr>
      <t xml:space="preserve">, debe determinarse de acuerdo a la </t>
    </r>
    <r>
      <rPr>
        <sz val="10"/>
        <rFont val="Arial"/>
        <family val="2"/>
      </rPr>
      <t xml:space="preserve">siguiente ecuación: </t>
    </r>
  </si>
  <si>
    <t xml:space="preserve">Las respuestas maximas obtenidas para cada modo, m, de las delflexiones, derivas, fuerzas en los pisos, cortantes de piso, cortantes en la base </t>
  </si>
  <si>
    <t>y fuerzas en los elementos, deben combinarse utilizando el metodo de la raiz cuadrada de la suma de los cuadrados.</t>
  </si>
  <si>
    <t>La respuesta maxima de la derivas se calcula como la causada por cada modo independientemente y se combinan posteriormente.</t>
  </si>
  <si>
    <t xml:space="preserve">Cuando se utilicen modelos matematicos de analisis tridimensional, deben tenerse en cuenta los efectos de interaccion modal, tales como la </t>
  </si>
  <si>
    <t>combinacion cuadratica total.</t>
  </si>
  <si>
    <t xml:space="preserve">El valor del cortante dinamico total en la base, Vtj, obtenido despues de realizar la combinacion modal, para cualquiera de las direcciones de </t>
  </si>
  <si>
    <t xml:space="preserve">analisis, j, no puede ser menor que el 80% para estructuras regulares y que el 90% para estructuras irregulares, del cortante sismico en la base, </t>
  </si>
  <si>
    <t>Vs, calculado por el metodo de la fuerza horizontal equivalente.</t>
  </si>
  <si>
    <t xml:space="preserve">Cuando una estructura se clasifique como irregular, el valor del coeficiente de capacidad de disipacion de enegia R que se utilice en el diseño </t>
  </si>
  <si>
    <t xml:space="preserve">sismico de la edificacion, debe reducirse multiplicandolo por los factores de reduccion debido a irregularidades en planta y en altura y debido a </t>
  </si>
  <si>
    <t>ausencia de redundancia. Ecuacion (A.3.3-1)</t>
  </si>
  <si>
    <t xml:space="preserve">Evaluacion de los desplazamientos horizontales, incluyendo los efectos torsionales de toda la estructura, y las derivas utilizando los </t>
  </si>
  <si>
    <t>procedimientos dados en A.6 y con base en los desplazamientos obtenidos en el Capitulo 8 de este documento.</t>
  </si>
  <si>
    <t xml:space="preserve">deriva, calculada incluyendo los efectos torsionales de toda la estructura, es obligatorio rigidizarla, llevando a cabo los pasos de los capitulos 8, </t>
  </si>
  <si>
    <t>9 y 10 de este documento hasta cuando cumpla la comprobacion de derivas.</t>
  </si>
  <si>
    <t>Se pueden despreciar los dos ultimos pisos y los pisos inferiores que tengan sotano con muros de contencion en todo su perimetro</t>
  </si>
  <si>
    <t xml:space="preserve">Suma de carga vertical total, incluyendo muerta y viva, que existe en el piso i, y todos los pisos localizados por encima. </t>
  </si>
  <si>
    <t>No hay necesidad que los coeficiente de carga sean mayores a la unidad.</t>
  </si>
  <si>
    <t>Deriva del piso en la direccion bajo estudio, medida en el centro de masa del piso, como la diferencia entre el despla-</t>
  </si>
  <si>
    <t>zamiento horizontal del piso i menos el del piso i-1 en la misma direccion j.</t>
  </si>
  <si>
    <t xml:space="preserve">Fuerza cortante del piso i, en la direccion bajo estudio, sin divir por R. Corresponde a la suma de las fuerzas </t>
  </si>
  <si>
    <t>horizontales sismicas que se aplican al nivel i, y todos los niveles localziados por encima de el.</t>
  </si>
  <si>
    <t>* La estructura está localizada a una cota inferior a los 2000 m.s.n.m.</t>
  </si>
  <si>
    <t>Carga de empuje estatico de suelos:</t>
  </si>
  <si>
    <t>Según el estudio de suelos se tienen los siguientes datos</t>
  </si>
  <si>
    <t>g</t>
  </si>
  <si>
    <r>
      <t>k</t>
    </r>
    <r>
      <rPr>
        <b/>
        <vertAlign val="subscript"/>
        <sz val="11"/>
        <color indexed="8"/>
        <rFont val="Arial"/>
        <family val="2"/>
      </rPr>
      <t>a</t>
    </r>
  </si>
  <si>
    <t>f</t>
  </si>
  <si>
    <r>
      <t>k</t>
    </r>
    <r>
      <rPr>
        <b/>
        <vertAlign val="subscript"/>
        <sz val="11"/>
        <color indexed="8"/>
        <rFont val="Arial"/>
        <family val="2"/>
      </rPr>
      <t>ae</t>
    </r>
  </si>
  <si>
    <t>reducción</t>
  </si>
  <si>
    <r>
      <t>k</t>
    </r>
    <r>
      <rPr>
        <b/>
        <vertAlign val="subscript"/>
        <sz val="11"/>
        <color theme="1"/>
        <rFont val="Arial"/>
        <family val="2"/>
      </rPr>
      <t>0</t>
    </r>
  </si>
  <si>
    <t>d</t>
  </si>
  <si>
    <r>
      <t>k</t>
    </r>
    <r>
      <rPr>
        <b/>
        <vertAlign val="subscript"/>
        <sz val="11"/>
        <color indexed="8"/>
        <rFont val="Arial"/>
        <family val="2"/>
      </rPr>
      <t>v</t>
    </r>
  </si>
  <si>
    <r>
      <rPr>
        <b/>
        <sz val="11"/>
        <color indexed="8"/>
        <rFont val="Calibri"/>
        <family val="2"/>
      </rPr>
      <t>cos(</t>
    </r>
    <r>
      <rPr>
        <b/>
        <sz val="11"/>
        <color indexed="8"/>
        <rFont val="Symbol"/>
        <family val="1"/>
        <charset val="2"/>
      </rPr>
      <t>d</t>
    </r>
    <r>
      <rPr>
        <b/>
        <sz val="11"/>
        <color indexed="8"/>
        <rFont val="Calibri"/>
        <family val="2"/>
      </rPr>
      <t>)</t>
    </r>
  </si>
  <si>
    <r>
      <t>kN/m</t>
    </r>
    <r>
      <rPr>
        <vertAlign val="superscript"/>
        <sz val="10"/>
        <rFont val="Arial"/>
        <family val="2"/>
      </rPr>
      <t>3</t>
    </r>
  </si>
  <si>
    <t>Diagrama de empujes aplicados en el modelo</t>
  </si>
  <si>
    <t>Datums</t>
  </si>
  <si>
    <t>Ingresar valores Ec</t>
  </si>
  <si>
    <t>X</t>
  </si>
  <si>
    <t>variable</t>
  </si>
  <si>
    <t>Term ind</t>
  </si>
  <si>
    <r>
      <t>Empujes [kN/m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]</t>
    </r>
  </si>
  <si>
    <t xml:space="preserve">Concreto reforzado </t>
  </si>
  <si>
    <t>SI</t>
  </si>
  <si>
    <t>NP</t>
  </si>
  <si>
    <r>
      <t>S</t>
    </r>
    <r>
      <rPr>
        <b/>
        <sz val="10"/>
        <rFont val="Arial"/>
        <family val="2"/>
      </rPr>
      <t>M</t>
    </r>
    <r>
      <rPr>
        <b/>
        <vertAlign val="subscript"/>
        <sz val="10"/>
        <rFont val="Arial"/>
        <family val="2"/>
      </rPr>
      <t>x-x</t>
    </r>
  </si>
  <si>
    <r>
      <t>S</t>
    </r>
    <r>
      <rPr>
        <b/>
        <sz val="10"/>
        <rFont val="Arial"/>
        <family val="2"/>
      </rPr>
      <t>M</t>
    </r>
    <r>
      <rPr>
        <b/>
        <vertAlign val="subscript"/>
        <sz val="10"/>
        <rFont val="Arial"/>
        <family val="2"/>
      </rPr>
      <t>y-y</t>
    </r>
  </si>
  <si>
    <t>72m</t>
  </si>
  <si>
    <t>titulo b cargas antepechos y barandas B,4,2,2</t>
  </si>
  <si>
    <t>NA</t>
  </si>
  <si>
    <t>Oficinas</t>
  </si>
  <si>
    <t>Período de la Estructura</t>
  </si>
  <si>
    <t>Altura del edificio</t>
  </si>
  <si>
    <t>Ta</t>
  </si>
  <si>
    <t>seg</t>
  </si>
  <si>
    <t>Ct</t>
  </si>
  <si>
    <t>α</t>
  </si>
  <si>
    <t>1. Pórticos de concreto reforzado resistente a momentos</t>
  </si>
  <si>
    <t>Sistema estructural</t>
  </si>
  <si>
    <r>
      <t xml:space="preserve">Coeficiente de sobrerresistencia:  </t>
    </r>
    <r>
      <rPr>
        <sz val="10"/>
        <rFont val="Symbol"/>
        <family val="1"/>
        <charset val="2"/>
      </rPr>
      <t>W</t>
    </r>
    <r>
      <rPr>
        <vertAlign val="subscript"/>
        <sz val="11"/>
        <rFont val="Arial"/>
        <family val="2"/>
      </rPr>
      <t>0</t>
    </r>
  </si>
  <si>
    <r>
      <t>Ecuacion A.4.2-3: El período fundamental aproximado es: T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= C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>*h</t>
    </r>
    <r>
      <rPr>
        <vertAlign val="superscript"/>
        <sz val="10"/>
        <rFont val="Calibri"/>
        <family val="2"/>
      </rPr>
      <t>α</t>
    </r>
    <r>
      <rPr>
        <sz val="10"/>
        <rFont val="Arial"/>
        <family val="2"/>
      </rPr>
      <t>, donde Ct y α se obtienen de la Tabla A.4.2-1 de acuerdo</t>
    </r>
  </si>
  <si>
    <t>Se ponderan los valores de ambos sitemas estructurales</t>
  </si>
  <si>
    <t>Habitaciones</t>
  </si>
  <si>
    <t>Almacenamiento</t>
  </si>
  <si>
    <t>Restaurante</t>
  </si>
  <si>
    <t>Auditorio</t>
  </si>
  <si>
    <t>Acabado</t>
  </si>
  <si>
    <t>Zona</t>
  </si>
  <si>
    <t>Cubierta</t>
  </si>
  <si>
    <t>Teja fibrocemento 14 mm</t>
  </si>
  <si>
    <t>Cieloraso</t>
  </si>
  <si>
    <t>Correas</t>
  </si>
  <si>
    <t>Espesor equivalente en concreto</t>
  </si>
  <si>
    <t>Baldosa sobre mortero</t>
  </si>
  <si>
    <t>Total D_SP</t>
  </si>
  <si>
    <t>Balcones y Terrazas</t>
  </si>
  <si>
    <t>Zona lavado</t>
  </si>
  <si>
    <t>Carga Sobreimpuesta</t>
  </si>
  <si>
    <r>
      <t>Peso por m</t>
    </r>
    <r>
      <rPr>
        <b/>
        <vertAlign val="superscript"/>
        <sz val="10"/>
        <rFont val="Arial"/>
        <family val="2"/>
      </rPr>
      <t>2</t>
    </r>
  </si>
  <si>
    <t>Intermedia</t>
  </si>
  <si>
    <t xml:space="preserve">Tipo de perfil de suelo (tabla A.2.4-1 de la NSR-10 ): </t>
  </si>
  <si>
    <t>C. Privados,  Oficina y circulación</t>
  </si>
  <si>
    <t>Escalera</t>
  </si>
  <si>
    <t>ANÁLISIS  ESTRUCTURAL SISMICO
EDIFICIO INSTITUCIONAL - UNIESTATAL
LA DORADA - CALDAS</t>
  </si>
  <si>
    <t>Ingresar valores en el modelo ETABS</t>
  </si>
  <si>
    <t>Especial (DES)</t>
  </si>
  <si>
    <t xml:space="preserve">  </t>
  </si>
  <si>
    <t>U_B.2.4-5_1 DER_H</t>
  </si>
  <si>
    <t>U_B.2.4-5_1 DER</t>
  </si>
  <si>
    <t>U_B.2.4-5_2 DER_H</t>
  </si>
  <si>
    <t>U_B.2.4-5_2 DER</t>
  </si>
  <si>
    <t>U_B.2.4-5_3 DER_H</t>
  </si>
  <si>
    <t>U_B.2.4-5_3 DER</t>
  </si>
  <si>
    <t>U_B.2.4-5_4 DER_H</t>
  </si>
  <si>
    <t>U_B.2.4-5_4 DER</t>
  </si>
  <si>
    <t>U_B.2.4-7_1 DER_H</t>
  </si>
  <si>
    <t>U_B.2.4-7_1 DER</t>
  </si>
  <si>
    <t>U_B.2.4-7_2 DER_H</t>
  </si>
  <si>
    <t>U_B.2.4-7_2 DER</t>
  </si>
  <si>
    <t>U_B.2.4-7_3 DER_H</t>
  </si>
  <si>
    <t>U_B.2.4-7_3 DER</t>
  </si>
  <si>
    <t>U_B.2.4-7_4 DER_H</t>
  </si>
  <si>
    <t>U_B.2.4-7_4 DER</t>
  </si>
  <si>
    <t>Baja</t>
  </si>
  <si>
    <t>Zona Bananera</t>
  </si>
  <si>
    <t>Zipaquirá</t>
  </si>
  <si>
    <t>Zipacón</t>
  </si>
  <si>
    <t>Alta</t>
  </si>
  <si>
    <t>Zetaquirá</t>
  </si>
  <si>
    <t>Zarzal</t>
  </si>
  <si>
    <t>Zaragoza</t>
  </si>
  <si>
    <t>Zapayán</t>
  </si>
  <si>
    <t>Zapatoca</t>
  </si>
  <si>
    <t>Zambrano</t>
  </si>
  <si>
    <t>Yumbo</t>
  </si>
  <si>
    <t>Yotocó</t>
  </si>
  <si>
    <t>Yopal</t>
  </si>
  <si>
    <t>Yondó</t>
  </si>
  <si>
    <t>Yolombó</t>
  </si>
  <si>
    <t>Yavarate</t>
  </si>
  <si>
    <t>Yarumal</t>
  </si>
  <si>
    <t>Yalí</t>
  </si>
  <si>
    <t>Yaguará</t>
  </si>
  <si>
    <t>Yacuanquer</t>
  </si>
  <si>
    <t>Yacopí</t>
  </si>
  <si>
    <t>Viterbo</t>
  </si>
  <si>
    <t>Vista Hermosa</t>
  </si>
  <si>
    <t>Viracachá</t>
  </si>
  <si>
    <t>Viotá</t>
  </si>
  <si>
    <t>Villeta</t>
  </si>
  <si>
    <t>Villavieja</t>
  </si>
  <si>
    <t>Villavicencio</t>
  </si>
  <si>
    <t>Villarrica</t>
  </si>
  <si>
    <t>Villapinzón</t>
  </si>
  <si>
    <t>Villanueva</t>
  </si>
  <si>
    <t>Villamaría</t>
  </si>
  <si>
    <t>Villahermosa</t>
  </si>
  <si>
    <t>Villagómez</t>
  </si>
  <si>
    <t>Villagarzón</t>
  </si>
  <si>
    <t>Villa Rica</t>
  </si>
  <si>
    <t>Villa del Rosario</t>
  </si>
  <si>
    <t>Villa de Leyva</t>
  </si>
  <si>
    <t>Villa Caro</t>
  </si>
  <si>
    <t>Vijes</t>
  </si>
  <si>
    <t>Vigía del Fuerte</t>
  </si>
  <si>
    <t>Victoria</t>
  </si>
  <si>
    <t>Vianí</t>
  </si>
  <si>
    <t>Vetas</t>
  </si>
  <si>
    <t>Versalles</t>
  </si>
  <si>
    <t>Vergara</t>
  </si>
  <si>
    <t>Ventaquemada</t>
  </si>
  <si>
    <t>Venecia</t>
  </si>
  <si>
    <t>Venadillo</t>
  </si>
  <si>
    <t>Vélez</t>
  </si>
  <si>
    <t>Vegachí</t>
  </si>
  <si>
    <t>Valparaíso</t>
  </si>
  <si>
    <t>Valledupar</t>
  </si>
  <si>
    <t>Valle San José</t>
  </si>
  <si>
    <t>Valle del Guamuez</t>
  </si>
  <si>
    <t>Valle de San Juan</t>
  </si>
  <si>
    <t>Valencia</t>
  </si>
  <si>
    <t>Valdivia</t>
  </si>
  <si>
    <t>Útica</t>
  </si>
  <si>
    <t>Usiacurí</t>
  </si>
  <si>
    <t>Urumita</t>
  </si>
  <si>
    <t>Urrao</t>
  </si>
  <si>
    <t>Uribía</t>
  </si>
  <si>
    <t>Uramita</t>
  </si>
  <si>
    <t>Unión Panamericana</t>
  </si>
  <si>
    <t>Unguía</t>
  </si>
  <si>
    <t>Une</t>
  </si>
  <si>
    <t>Úmbita</t>
  </si>
  <si>
    <t>Ulloa</t>
  </si>
  <si>
    <t>Ubaté</t>
  </si>
  <si>
    <t>Ubaque</t>
  </si>
  <si>
    <t>Ubalá</t>
  </si>
  <si>
    <t>Tutazá</t>
  </si>
  <si>
    <t>Tuta</t>
  </si>
  <si>
    <t>Turmequé</t>
  </si>
  <si>
    <t>Turbo</t>
  </si>
  <si>
    <t>Turbaná</t>
  </si>
  <si>
    <t>Turbaco</t>
  </si>
  <si>
    <t>Túquerres</t>
  </si>
  <si>
    <t>Tunungua</t>
  </si>
  <si>
    <t>Tunja</t>
  </si>
  <si>
    <t>Tumaco</t>
  </si>
  <si>
    <t>Tuluá</t>
  </si>
  <si>
    <t>Tubará</t>
  </si>
  <si>
    <t>Trujillo</t>
  </si>
  <si>
    <t>Trinidad</t>
  </si>
  <si>
    <t>Totoró</t>
  </si>
  <si>
    <t>Tota</t>
  </si>
  <si>
    <t>Toro</t>
  </si>
  <si>
    <t>Toribío</t>
  </si>
  <si>
    <t>Topaipí</t>
  </si>
  <si>
    <t>Tópaga</t>
  </si>
  <si>
    <t>Tona</t>
  </si>
  <si>
    <t>Toluviejo</t>
  </si>
  <si>
    <t>Tolú</t>
  </si>
  <si>
    <t>Toledo</t>
  </si>
  <si>
    <t>Toguí</t>
  </si>
  <si>
    <t>Tocancipá</t>
  </si>
  <si>
    <t>Tocaima</t>
  </si>
  <si>
    <t>Toca</t>
  </si>
  <si>
    <t>Titiribí</t>
  </si>
  <si>
    <t>Tiquisio</t>
  </si>
  <si>
    <t>Tipacoque</t>
  </si>
  <si>
    <t>Tinjacá</t>
  </si>
  <si>
    <t>Timbiquí</t>
  </si>
  <si>
    <t>Timbío</t>
  </si>
  <si>
    <t>Timaná</t>
  </si>
  <si>
    <t>Tierralta</t>
  </si>
  <si>
    <t>Tibú</t>
  </si>
  <si>
    <t>Tibiritá</t>
  </si>
  <si>
    <t>Tibasosa</t>
  </si>
  <si>
    <t>Tibaná</t>
  </si>
  <si>
    <t>Tibacuy</t>
  </si>
  <si>
    <t>Tesalia</t>
  </si>
  <si>
    <t>Teruel</t>
  </si>
  <si>
    <t>Teorama</t>
  </si>
  <si>
    <t>Tenza</t>
  </si>
  <si>
    <t>Tenjo</t>
  </si>
  <si>
    <t>Tenerife</t>
  </si>
  <si>
    <t>Tena</t>
  </si>
  <si>
    <t>Tello</t>
  </si>
  <si>
    <t>Tausa</t>
  </si>
  <si>
    <t>Tauramena</t>
  </si>
  <si>
    <t>Tasco</t>
  </si>
  <si>
    <t>Tarso</t>
  </si>
  <si>
    <t>Tarquí</t>
  </si>
  <si>
    <t>Tarazá</t>
  </si>
  <si>
    <t>Tarapacá</t>
  </si>
  <si>
    <t>Taraira</t>
  </si>
  <si>
    <t>Tangua</t>
  </si>
  <si>
    <t>Taminango</t>
  </si>
  <si>
    <t>Támesis</t>
  </si>
  <si>
    <t>Tame</t>
  </si>
  <si>
    <t>Támara</t>
  </si>
  <si>
    <t>Tamalameque</t>
  </si>
  <si>
    <t>Talaigua Nuevo</t>
  </si>
  <si>
    <t>Tadó</t>
  </si>
  <si>
    <t>Tábio</t>
  </si>
  <si>
    <t>Sutatenza</t>
  </si>
  <si>
    <t>Sutatausa</t>
  </si>
  <si>
    <t>Sutamarchán</t>
  </si>
  <si>
    <t>Susacón</t>
  </si>
  <si>
    <t>Susa</t>
  </si>
  <si>
    <t>Suratá</t>
  </si>
  <si>
    <t>Supía</t>
  </si>
  <si>
    <t>Supatá</t>
  </si>
  <si>
    <t>Suesca</t>
  </si>
  <si>
    <t>Sucre</t>
  </si>
  <si>
    <t>Subachoque</t>
  </si>
  <si>
    <t>Suazá</t>
  </si>
  <si>
    <t>Suárez</t>
  </si>
  <si>
    <t>Suán</t>
  </si>
  <si>
    <t>Suaita</t>
  </si>
  <si>
    <t>Sotará</t>
  </si>
  <si>
    <t>Sotaquirá</t>
  </si>
  <si>
    <t>Soracá</t>
  </si>
  <si>
    <t>Sora</t>
  </si>
  <si>
    <t>Sopó</t>
  </si>
  <si>
    <t>Soplaviento</t>
  </si>
  <si>
    <t>Sopetrán</t>
  </si>
  <si>
    <t>Sonsón</t>
  </si>
  <si>
    <t>Somondoco</t>
  </si>
  <si>
    <t>Solita</t>
  </si>
  <si>
    <t>Soledad</t>
  </si>
  <si>
    <t>Solano</t>
  </si>
  <si>
    <t>Sogamoso</t>
  </si>
  <si>
    <t>Socotá</t>
  </si>
  <si>
    <t>Socorro</t>
  </si>
  <si>
    <t>Socha</t>
  </si>
  <si>
    <t>Soatá</t>
  </si>
  <si>
    <t>Soacha</t>
  </si>
  <si>
    <t>Sitionuevo</t>
  </si>
  <si>
    <t>Sipí</t>
  </si>
  <si>
    <t>Sincelejo</t>
  </si>
  <si>
    <t>Sincé</t>
  </si>
  <si>
    <t>Simití</t>
  </si>
  <si>
    <t>Simijaca</t>
  </si>
  <si>
    <t>Simacota</t>
  </si>
  <si>
    <t>Silvia</t>
  </si>
  <si>
    <t>Silvania</t>
  </si>
  <si>
    <t>Silos</t>
  </si>
  <si>
    <t>Sibundoy</t>
  </si>
  <si>
    <t>Sibaté</t>
  </si>
  <si>
    <t>Siachoque</t>
  </si>
  <si>
    <t>Sevilla</t>
  </si>
  <si>
    <t>Sesquilé</t>
  </si>
  <si>
    <t>Segovia</t>
  </si>
  <si>
    <t>Sativasur</t>
  </si>
  <si>
    <t>Sativanorte</t>
  </si>
  <si>
    <t>Sasaima</t>
  </si>
  <si>
    <t>Sardinata</t>
  </si>
  <si>
    <t>Saravena</t>
  </si>
  <si>
    <t>Sapuyés</t>
  </si>
  <si>
    <t>Santuario</t>
  </si>
  <si>
    <t>Santo Tomás</t>
  </si>
  <si>
    <t>Santo Domingo</t>
  </si>
  <si>
    <t>Santiago</t>
  </si>
  <si>
    <t>Santander de Quilichao</t>
  </si>
  <si>
    <t>Santana</t>
  </si>
  <si>
    <t>Santafé de Antioquia</t>
  </si>
  <si>
    <t>Santacruz</t>
  </si>
  <si>
    <t>Santa Sofía</t>
  </si>
  <si>
    <t>Santa Rosalía</t>
  </si>
  <si>
    <t>Santa Rosa del Sur</t>
  </si>
  <si>
    <t>Santa Rosa de Osos</t>
  </si>
  <si>
    <t>Santa Rosa de Cabal</t>
  </si>
  <si>
    <t>Santa Rosa</t>
  </si>
  <si>
    <t>Santa Marta</t>
  </si>
  <si>
    <t>Santa María</t>
  </si>
  <si>
    <t>Santa Lucía</t>
  </si>
  <si>
    <t>Santa Isabel</t>
  </si>
  <si>
    <t>Santa Helena del Opón</t>
  </si>
  <si>
    <t>Santa Catalina</t>
  </si>
  <si>
    <t>Santa Bárbara de Pinto</t>
  </si>
  <si>
    <t>Santa Bárbara</t>
  </si>
  <si>
    <t>Santa Ana</t>
  </si>
  <si>
    <t>Sandoná</t>
  </si>
  <si>
    <t>San Zenón</t>
  </si>
  <si>
    <t>San Vicente del Caguán</t>
  </si>
  <si>
    <t>San Vicente de Chucurí</t>
  </si>
  <si>
    <t>San Vicente</t>
  </si>
  <si>
    <t>San Sebastián de Buenavista</t>
  </si>
  <si>
    <t>San Sebastián</t>
  </si>
  <si>
    <t>San Rosa Viterbo</t>
  </si>
  <si>
    <t>San Roque</t>
  </si>
  <si>
    <t>San Rafael</t>
  </si>
  <si>
    <t>San Pelayo</t>
  </si>
  <si>
    <t>San Pedro de Urabá</t>
  </si>
  <si>
    <t>San Pedro de Cartago</t>
  </si>
  <si>
    <t>San Pedro</t>
  </si>
  <si>
    <t>San Pablo Borbur</t>
  </si>
  <si>
    <t>San Pablo</t>
  </si>
  <si>
    <t>San Onofre</t>
  </si>
  <si>
    <t>San Miguel de Sema</t>
  </si>
  <si>
    <t>San Miguel</t>
  </si>
  <si>
    <t>San Mateo</t>
  </si>
  <si>
    <t>San Martín de Loba</t>
  </si>
  <si>
    <t>San Martín</t>
  </si>
  <si>
    <t>San Marcos</t>
  </si>
  <si>
    <t>San Luis de Palenque</t>
  </si>
  <si>
    <t>San Luis de Gaceno</t>
  </si>
  <si>
    <t>San Luis de Cubarral</t>
  </si>
  <si>
    <t>San Luis</t>
  </si>
  <si>
    <t>San Lorenzo</t>
  </si>
  <si>
    <t>San Juanito</t>
  </si>
  <si>
    <t>San Juan Nepomuceno</t>
  </si>
  <si>
    <t>San Juan del Cesar</t>
  </si>
  <si>
    <t>San Juan de Urabá</t>
  </si>
  <si>
    <t>San Juan de Rioseco</t>
  </si>
  <si>
    <t>San Juan de Arama</t>
  </si>
  <si>
    <t>San Juan Betulia</t>
  </si>
  <si>
    <t>San José del Palmar</t>
  </si>
  <si>
    <t>San José Del Guaviare</t>
  </si>
  <si>
    <t>San José de Pare</t>
  </si>
  <si>
    <t>San José de Miranda</t>
  </si>
  <si>
    <t>San José de la Montaña</t>
  </si>
  <si>
    <t>San José de la Fragua</t>
  </si>
  <si>
    <t>San José</t>
  </si>
  <si>
    <t>San Joaquín</t>
  </si>
  <si>
    <t>San Jerónimo</t>
  </si>
  <si>
    <t>San Jacinto del Cauca</t>
  </si>
  <si>
    <t>San Jacinto</t>
  </si>
  <si>
    <t>San Gil</t>
  </si>
  <si>
    <t>San Francisco</t>
  </si>
  <si>
    <t>San Fernando</t>
  </si>
  <si>
    <t>San Felipe</t>
  </si>
  <si>
    <t>San Estanislao</t>
  </si>
  <si>
    <t>San Eduardo</t>
  </si>
  <si>
    <t>San Diego</t>
  </si>
  <si>
    <t>San Cristóbal</t>
  </si>
  <si>
    <t>San Cayetano</t>
  </si>
  <si>
    <t>San Carlos Guaroa</t>
  </si>
  <si>
    <t>San Carlos</t>
  </si>
  <si>
    <t>San Calixto</t>
  </si>
  <si>
    <t>San Bernardo del Viento</t>
  </si>
  <si>
    <t>San Bernardo</t>
  </si>
  <si>
    <t>San Benito Abad</t>
  </si>
  <si>
    <t>San Benito</t>
  </si>
  <si>
    <t>San Antonio de Tequendama</t>
  </si>
  <si>
    <t>San Antonio</t>
  </si>
  <si>
    <t>San Antero</t>
  </si>
  <si>
    <t>San Andrés de Sotavento</t>
  </si>
  <si>
    <t>San Andrés</t>
  </si>
  <si>
    <t>San Alberto</t>
  </si>
  <si>
    <t>San Agustín</t>
  </si>
  <si>
    <t>Sampués</t>
  </si>
  <si>
    <t>Samaniego</t>
  </si>
  <si>
    <t>Samaná</t>
  </si>
  <si>
    <t>Samacá</t>
  </si>
  <si>
    <t>Salgar</t>
  </si>
  <si>
    <t>Salento</t>
  </si>
  <si>
    <t>Saldaña</t>
  </si>
  <si>
    <t>Salazar</t>
  </si>
  <si>
    <t>Salamina</t>
  </si>
  <si>
    <t>Saladoblanco</t>
  </si>
  <si>
    <t>Sahagún</t>
  </si>
  <si>
    <t>Sáchica</t>
  </si>
  <si>
    <t>Sácama</t>
  </si>
  <si>
    <t>Saboyá</t>
  </si>
  <si>
    <t>Sabaneta</t>
  </si>
  <si>
    <t>Sabanas de San Ángel</t>
  </si>
  <si>
    <t>Sabanalarga</t>
  </si>
  <si>
    <t>Sabanagrande</t>
  </si>
  <si>
    <t>Sabana de Torres</t>
  </si>
  <si>
    <t>Rovira</t>
  </si>
  <si>
    <t>Rosas</t>
  </si>
  <si>
    <t>Rondón</t>
  </si>
  <si>
    <t>Roncesvalles</t>
  </si>
  <si>
    <t>Roldanillo</t>
  </si>
  <si>
    <t>Roberto Payán</t>
  </si>
  <si>
    <t>Rivera</t>
  </si>
  <si>
    <t>Risaralda</t>
  </si>
  <si>
    <t>Riosucio</t>
  </si>
  <si>
    <t>Rionegro</t>
  </si>
  <si>
    <t>Riohacha</t>
  </si>
  <si>
    <t>Riofrío</t>
  </si>
  <si>
    <t>Rioblanco</t>
  </si>
  <si>
    <t>Río Viejo</t>
  </si>
  <si>
    <t>Río Quito</t>
  </si>
  <si>
    <t>Río Iro</t>
  </si>
  <si>
    <t>Río de Oro</t>
  </si>
  <si>
    <t>Ricaurte</t>
  </si>
  <si>
    <t>Retiro</t>
  </si>
  <si>
    <t>Restrepo</t>
  </si>
  <si>
    <t>Repelón</t>
  </si>
  <si>
    <t>Remolino</t>
  </si>
  <si>
    <t>Remedios</t>
  </si>
  <si>
    <t>Regidor</t>
  </si>
  <si>
    <t>Recetor</t>
  </si>
  <si>
    <t>Ráquira</t>
  </si>
  <si>
    <t>Ramiriquí</t>
  </si>
  <si>
    <t>Ragonvalia</t>
  </si>
  <si>
    <t>Quipile</t>
  </si>
  <si>
    <t>Quipama</t>
  </si>
  <si>
    <t>Quinchía</t>
  </si>
  <si>
    <t>Quimbaya</t>
  </si>
  <si>
    <t>Quibdó</t>
  </si>
  <si>
    <t>Quetame</t>
  </si>
  <si>
    <t>Quebradanegra</t>
  </si>
  <si>
    <t>Purísima</t>
  </si>
  <si>
    <t>Purificación</t>
  </si>
  <si>
    <t>Puracé</t>
  </si>
  <si>
    <t>Pupiales</t>
  </si>
  <si>
    <t>Pulí</t>
  </si>
  <si>
    <t>Puerto Wilches</t>
  </si>
  <si>
    <t>Puerto Triunfo</t>
  </si>
  <si>
    <t>Puerto Tejada</t>
  </si>
  <si>
    <t>Puerto Santander</t>
  </si>
  <si>
    <t>Puerto Salgar</t>
  </si>
  <si>
    <t>Puerto Rondón</t>
  </si>
  <si>
    <t>Puerto Rico</t>
  </si>
  <si>
    <t>Puerto Parra</t>
  </si>
  <si>
    <t>Puerto Nariño</t>
  </si>
  <si>
    <t>Puerto Nare</t>
  </si>
  <si>
    <t>Puerto López</t>
  </si>
  <si>
    <t>Puerto Lleras</t>
  </si>
  <si>
    <t>Puerto Libertador</t>
  </si>
  <si>
    <t>Puerto Leguízamo</t>
  </si>
  <si>
    <t>Puerto Inírida</t>
  </si>
  <si>
    <t>Puerto Guzmán</t>
  </si>
  <si>
    <t>Puerto Gaitán</t>
  </si>
  <si>
    <t>Puerto Escondido</t>
  </si>
  <si>
    <t>Puerto Concordia</t>
  </si>
  <si>
    <t>Puerto Colombia</t>
  </si>
  <si>
    <t>Puerto Carreño</t>
  </si>
  <si>
    <t>Puerto Caicedo</t>
  </si>
  <si>
    <t>Puerto Boyacá</t>
  </si>
  <si>
    <t>Puerto Berrío</t>
  </si>
  <si>
    <t>Puerto Asís</t>
  </si>
  <si>
    <t>Puerto Arica</t>
  </si>
  <si>
    <t>Puerto Alegría</t>
  </si>
  <si>
    <t>Puerres</t>
  </si>
  <si>
    <t>Puente Nacional</t>
  </si>
  <si>
    <t>Puebloviejo</t>
  </si>
  <si>
    <t>Pueblorrico</t>
  </si>
  <si>
    <t>Pueblo Rico</t>
  </si>
  <si>
    <t>Pueblo Nuevo</t>
  </si>
  <si>
    <t>Pueblo Bello</t>
  </si>
  <si>
    <t>Providencia y Santa Catalina</t>
  </si>
  <si>
    <t>Providencia</t>
  </si>
  <si>
    <t>Prado</t>
  </si>
  <si>
    <t>Pradera</t>
  </si>
  <si>
    <t>Potosí</t>
  </si>
  <si>
    <t>Pore</t>
  </si>
  <si>
    <t>Popayán</t>
  </si>
  <si>
    <t>Ponedera</t>
  </si>
  <si>
    <t>Polonuevo</t>
  </si>
  <si>
    <t>Policarpa</t>
  </si>
  <si>
    <t>Plato</t>
  </si>
  <si>
    <t>Planeta Rica</t>
  </si>
  <si>
    <t>Planadas</t>
  </si>
  <si>
    <t>Pivijay</t>
  </si>
  <si>
    <t>Pitalito</t>
  </si>
  <si>
    <t>Pital</t>
  </si>
  <si>
    <t>Pisba</t>
  </si>
  <si>
    <t>Piojo</t>
  </si>
  <si>
    <t>Pinillos</t>
  </si>
  <si>
    <t>Pinchote</t>
  </si>
  <si>
    <t>Pijino del Carmen</t>
  </si>
  <si>
    <t>Pijáo</t>
  </si>
  <si>
    <t>Piendamó</t>
  </si>
  <si>
    <t>Piedras</t>
  </si>
  <si>
    <t>Piedecuesta</t>
  </si>
  <si>
    <t>Piamonte</t>
  </si>
  <si>
    <t>Pesca</t>
  </si>
  <si>
    <t>Pereira</t>
  </si>
  <si>
    <t>Peque</t>
  </si>
  <si>
    <t>Peñol</t>
  </si>
  <si>
    <t>Pensilvania</t>
  </si>
  <si>
    <t>Pelaya</t>
  </si>
  <si>
    <t>Pedraza</t>
  </si>
  <si>
    <t>Paz De Río</t>
  </si>
  <si>
    <t>Paz de Ariporo</t>
  </si>
  <si>
    <t>Paya</t>
  </si>
  <si>
    <t>Pauna</t>
  </si>
  <si>
    <t>Patía</t>
  </si>
  <si>
    <t>Pasto</t>
  </si>
  <si>
    <t>Pasca</t>
  </si>
  <si>
    <t>Paratebueno</t>
  </si>
  <si>
    <t>Páramo</t>
  </si>
  <si>
    <t>Papunahua</t>
  </si>
  <si>
    <t>Panqueba</t>
  </si>
  <si>
    <t>Pandi</t>
  </si>
  <si>
    <t>Pana Pana</t>
  </si>
  <si>
    <t>Pamplonita</t>
  </si>
  <si>
    <t>Pamplona</t>
  </si>
  <si>
    <t>Palocabildo</t>
  </si>
  <si>
    <t>Palmito</t>
  </si>
  <si>
    <t>Palmira</t>
  </si>
  <si>
    <t>Palmas del Socorro</t>
  </si>
  <si>
    <t>Palmar de Varela</t>
  </si>
  <si>
    <t>Palmar</t>
  </si>
  <si>
    <t>Palestina</t>
  </si>
  <si>
    <t>Palermo</t>
  </si>
  <si>
    <t>Pajarito</t>
  </si>
  <si>
    <t>Paipa</t>
  </si>
  <si>
    <t>Paime</t>
  </si>
  <si>
    <t>Pailitas</t>
  </si>
  <si>
    <t>Paicol</t>
  </si>
  <si>
    <t>Páez</t>
  </si>
  <si>
    <t>Padilla</t>
  </si>
  <si>
    <t>Pácora</t>
  </si>
  <si>
    <t>Pacoa</t>
  </si>
  <si>
    <t>Pacho</t>
  </si>
  <si>
    <t>Pachavita</t>
  </si>
  <si>
    <t>Ovejas</t>
  </si>
  <si>
    <t>Otanche</t>
  </si>
  <si>
    <t>Ospina</t>
  </si>
  <si>
    <t>Ortega</t>
  </si>
  <si>
    <t>Orocué</t>
  </si>
  <si>
    <t>Orito</t>
  </si>
  <si>
    <t>Oporapa</t>
  </si>
  <si>
    <t>Onzága</t>
  </si>
  <si>
    <t>Olaya Herrera</t>
  </si>
  <si>
    <t>Olaya</t>
  </si>
  <si>
    <t>Oicatá</t>
  </si>
  <si>
    <t>Oiba</t>
  </si>
  <si>
    <t>Ocaña</t>
  </si>
  <si>
    <t>Ocamonte</t>
  </si>
  <si>
    <t>Obando</t>
  </si>
  <si>
    <t>Nuquí</t>
  </si>
  <si>
    <t>Nunchía</t>
  </si>
  <si>
    <t>Nuevo Colón</t>
  </si>
  <si>
    <t>Nueva Granada</t>
  </si>
  <si>
    <t>Nóvita</t>
  </si>
  <si>
    <t>Norcasia</t>
  </si>
  <si>
    <t>Nocáima</t>
  </si>
  <si>
    <t>Nobsa</t>
  </si>
  <si>
    <t>Nimáima</t>
  </si>
  <si>
    <t>Nilo</t>
  </si>
  <si>
    <t>Nemocón</t>
  </si>
  <si>
    <t>Neiva</t>
  </si>
  <si>
    <t>Neira</t>
  </si>
  <si>
    <t>Necoclí</t>
  </si>
  <si>
    <t>Nechí</t>
  </si>
  <si>
    <t>Natagaima</t>
  </si>
  <si>
    <t>Nátaga</t>
  </si>
  <si>
    <t>Nariño</t>
  </si>
  <si>
    <t>Muzo</t>
  </si>
  <si>
    <t>Mutiscua</t>
  </si>
  <si>
    <t>Mutatá</t>
  </si>
  <si>
    <t>Murindó</t>
  </si>
  <si>
    <t>Murillo</t>
  </si>
  <si>
    <t>Motavita</t>
  </si>
  <si>
    <t>Mosquera</t>
  </si>
  <si>
    <t>Morroa</t>
  </si>
  <si>
    <t>Morichal</t>
  </si>
  <si>
    <t>Morelia</t>
  </si>
  <si>
    <t>Morales</t>
  </si>
  <si>
    <t>Moñitos</t>
  </si>
  <si>
    <t>Monterrey</t>
  </si>
  <si>
    <t>Montería</t>
  </si>
  <si>
    <t>Montenegro</t>
  </si>
  <si>
    <t>Montelíbano</t>
  </si>
  <si>
    <t>Montecristo</t>
  </si>
  <si>
    <t>Montebello</t>
  </si>
  <si>
    <t>Moniquirá</t>
  </si>
  <si>
    <t>Monguí</t>
  </si>
  <si>
    <t>Mongua</t>
  </si>
  <si>
    <t>Mompós</t>
  </si>
  <si>
    <t>Momil</t>
  </si>
  <si>
    <t>Molagavita</t>
  </si>
  <si>
    <t>Mogotes</t>
  </si>
  <si>
    <t>Mocoa</t>
  </si>
  <si>
    <t>Mitú</t>
  </si>
  <si>
    <t>Mistrató</t>
  </si>
  <si>
    <t>Mirití-Paraná</t>
  </si>
  <si>
    <t>Miranda</t>
  </si>
  <si>
    <t>Miraflores</t>
  </si>
  <si>
    <t>Milán</t>
  </si>
  <si>
    <t>Mesetas</t>
  </si>
  <si>
    <t>Mercaderes</t>
  </si>
  <si>
    <t>Melgar</t>
  </si>
  <si>
    <t>Medio San Juan</t>
  </si>
  <si>
    <t>Medio Baudó</t>
  </si>
  <si>
    <t>Medio Atrato</t>
  </si>
  <si>
    <t>Medina</t>
  </si>
  <si>
    <t>Medellín</t>
  </si>
  <si>
    <t>Matanza</t>
  </si>
  <si>
    <t>Marulanda</t>
  </si>
  <si>
    <t>Marsella</t>
  </si>
  <si>
    <t>Marquetalia</t>
  </si>
  <si>
    <t>Marmato</t>
  </si>
  <si>
    <t>Mariquita</t>
  </si>
  <si>
    <t>Maripí</t>
  </si>
  <si>
    <t>Marinilla</t>
  </si>
  <si>
    <t>María la Baja</t>
  </si>
  <si>
    <t>Margarita</t>
  </si>
  <si>
    <t>Mapiripaná</t>
  </si>
  <si>
    <t>Mapiripán</t>
  </si>
  <si>
    <t>Manzanares</t>
  </si>
  <si>
    <t>Manta</t>
  </si>
  <si>
    <t>Manizales</t>
  </si>
  <si>
    <t>Maní</t>
  </si>
  <si>
    <t>Manaure</t>
  </si>
  <si>
    <t>Manatí</t>
  </si>
  <si>
    <t>Mallama</t>
  </si>
  <si>
    <t>Malambo</t>
  </si>
  <si>
    <t>Málaga</t>
  </si>
  <si>
    <t>Majagual</t>
  </si>
  <si>
    <t>Maicao</t>
  </si>
  <si>
    <t>Mahates</t>
  </si>
  <si>
    <t>Magüí</t>
  </si>
  <si>
    <t>Magangue</t>
  </si>
  <si>
    <t>Madrid</t>
  </si>
  <si>
    <t>Machetá</t>
  </si>
  <si>
    <t>Maceo</t>
  </si>
  <si>
    <t>Macaravita</t>
  </si>
  <si>
    <t>Macanal</t>
  </si>
  <si>
    <t>Luruaco</t>
  </si>
  <si>
    <t>Lourdes</t>
  </si>
  <si>
    <t>Los Santos</t>
  </si>
  <si>
    <t>Los Patios</t>
  </si>
  <si>
    <t>Los Palmitos</t>
  </si>
  <si>
    <t>Los Córdobas</t>
  </si>
  <si>
    <t>Los Andes</t>
  </si>
  <si>
    <t>Lorica</t>
  </si>
  <si>
    <t>López</t>
  </si>
  <si>
    <t>Lloró</t>
  </si>
  <si>
    <t>Linares</t>
  </si>
  <si>
    <t>Liborina</t>
  </si>
  <si>
    <t>Líbano</t>
  </si>
  <si>
    <t>Leticia</t>
  </si>
  <si>
    <t>Lérida</t>
  </si>
  <si>
    <t>Lenguazaque</t>
  </si>
  <si>
    <t>Lejanías</t>
  </si>
  <si>
    <t>Leiva</t>
  </si>
  <si>
    <t>Lebrija</t>
  </si>
  <si>
    <t>Landázuri</t>
  </si>
  <si>
    <t>Labranzagrande</t>
  </si>
  <si>
    <t>Labateca</t>
  </si>
  <si>
    <t>La Virginia</t>
  </si>
  <si>
    <t>La Victoria</t>
  </si>
  <si>
    <t>La Vega</t>
  </si>
  <si>
    <t>La Uvita</t>
  </si>
  <si>
    <t>La Uribe</t>
  </si>
  <si>
    <t>La Unión</t>
  </si>
  <si>
    <t>La Tola</t>
  </si>
  <si>
    <t>La Tebaida</t>
  </si>
  <si>
    <t>La Sierra</t>
  </si>
  <si>
    <t>La Salina</t>
  </si>
  <si>
    <t>La Primavera</t>
  </si>
  <si>
    <t>La Playa</t>
  </si>
  <si>
    <t>La Plata</t>
  </si>
  <si>
    <t>La Pintada</t>
  </si>
  <si>
    <t>La Peña</t>
  </si>
  <si>
    <t>La Pedrera</t>
  </si>
  <si>
    <t>La Paz</t>
  </si>
  <si>
    <t>La Palma</t>
  </si>
  <si>
    <t>La Montañita</t>
  </si>
  <si>
    <t>La Mesa</t>
  </si>
  <si>
    <t>La Merced</t>
  </si>
  <si>
    <t>La Macarena</t>
  </si>
  <si>
    <t>La Llanada</t>
  </si>
  <si>
    <t>La Jagua del Pilar</t>
  </si>
  <si>
    <t>La Jagua de Ibirico</t>
  </si>
  <si>
    <t>La Guadalupe</t>
  </si>
  <si>
    <t>La Gloria</t>
  </si>
  <si>
    <t>La Florida</t>
  </si>
  <si>
    <t>La Estrella</t>
  </si>
  <si>
    <t>La Esperanza</t>
  </si>
  <si>
    <t>La Dorada</t>
  </si>
  <si>
    <t>La Cumbre</t>
  </si>
  <si>
    <t>La Cruz</t>
  </si>
  <si>
    <t>La Chorrera</t>
  </si>
  <si>
    <t>La Celia</t>
  </si>
  <si>
    <t>La Ceja</t>
  </si>
  <si>
    <t>La Capilla</t>
  </si>
  <si>
    <t>La Calera</t>
  </si>
  <si>
    <t>La Belleza</t>
  </si>
  <si>
    <t>La Argentina</t>
  </si>
  <si>
    <t>La Apartada</t>
  </si>
  <si>
    <t>Juradó</t>
  </si>
  <si>
    <t>Junín</t>
  </si>
  <si>
    <t>Juan de Acosta</t>
  </si>
  <si>
    <t>Jordán</t>
  </si>
  <si>
    <t>Jesús Maria</t>
  </si>
  <si>
    <t>Jerusalén</t>
  </si>
  <si>
    <t>Jericó</t>
  </si>
  <si>
    <t>Jenesano</t>
  </si>
  <si>
    <t>Jardín</t>
  </si>
  <si>
    <t>Jamundí</t>
  </si>
  <si>
    <t>Jambaló</t>
  </si>
  <si>
    <t>Iza</t>
  </si>
  <si>
    <t>Ituango</t>
  </si>
  <si>
    <t>Itsmína</t>
  </si>
  <si>
    <t>Itagüí</t>
  </si>
  <si>
    <t>Isnos</t>
  </si>
  <si>
    <t>Iquira</t>
  </si>
  <si>
    <t>Ipiales</t>
  </si>
  <si>
    <t>Inzá</t>
  </si>
  <si>
    <t>Imúes</t>
  </si>
  <si>
    <t>Iles</t>
  </si>
  <si>
    <t>Icononzo</t>
  </si>
  <si>
    <t>Ibagué</t>
  </si>
  <si>
    <t>Honda</t>
  </si>
  <si>
    <t>Hobo</t>
  </si>
  <si>
    <t>Hispania</t>
  </si>
  <si>
    <t>Hervéo</t>
  </si>
  <si>
    <t>Herrán</t>
  </si>
  <si>
    <t>Heliconia</t>
  </si>
  <si>
    <t>Hatonuevo</t>
  </si>
  <si>
    <t>Hato Corozal</t>
  </si>
  <si>
    <t>Hato</t>
  </si>
  <si>
    <t>Hatillo de Loba</t>
  </si>
  <si>
    <t>Hacarí</t>
  </si>
  <si>
    <t>Gutiérrez</t>
  </si>
  <si>
    <t>Guicán</t>
  </si>
  <si>
    <t>Guayatá</t>
  </si>
  <si>
    <t>Guayabetal</t>
  </si>
  <si>
    <t>Guayabal de Síquima</t>
  </si>
  <si>
    <t>Guavatá</t>
  </si>
  <si>
    <t>Guática</t>
  </si>
  <si>
    <t>Guateque</t>
  </si>
  <si>
    <t>Guatavita</t>
  </si>
  <si>
    <t>Guataquí</t>
  </si>
  <si>
    <t>Guatapé</t>
  </si>
  <si>
    <t>Guasca</t>
  </si>
  <si>
    <t>Guarne</t>
  </si>
  <si>
    <t>Guarandá</t>
  </si>
  <si>
    <t>Guapotá</t>
  </si>
  <si>
    <t>Guapí</t>
  </si>
  <si>
    <t>Guamo</t>
  </si>
  <si>
    <t>Guamal</t>
  </si>
  <si>
    <t>Gualmatán</t>
  </si>
  <si>
    <t>Guaitarilla</t>
  </si>
  <si>
    <t>Guaduas</t>
  </si>
  <si>
    <t>Guadalupe</t>
  </si>
  <si>
    <t>Guachucal</t>
  </si>
  <si>
    <t>Guachetá</t>
  </si>
  <si>
    <t>Guacarí</t>
  </si>
  <si>
    <t>Guacamayas</t>
  </si>
  <si>
    <t>Guaca</t>
  </si>
  <si>
    <t>Granada</t>
  </si>
  <si>
    <t>Gramalote</t>
  </si>
  <si>
    <t>González</t>
  </si>
  <si>
    <t>Gómez Plata</t>
  </si>
  <si>
    <t>Goepsa</t>
  </si>
  <si>
    <t>Girón</t>
  </si>
  <si>
    <t>Girardota</t>
  </si>
  <si>
    <t>Girardot</t>
  </si>
  <si>
    <t>Giraldo</t>
  </si>
  <si>
    <t>Ginebra</t>
  </si>
  <si>
    <t>Gigante</t>
  </si>
  <si>
    <t>Génova</t>
  </si>
  <si>
    <t>Garzón</t>
  </si>
  <si>
    <t>Garagoa</t>
  </si>
  <si>
    <t>Gámeza</t>
  </si>
  <si>
    <t>Gámbita</t>
  </si>
  <si>
    <t>Gamarra</t>
  </si>
  <si>
    <t>Gama</t>
  </si>
  <si>
    <t>Galeras</t>
  </si>
  <si>
    <t>Galapa</t>
  </si>
  <si>
    <t>Galán</t>
  </si>
  <si>
    <t>Gachetá</t>
  </si>
  <si>
    <t>Gachantiva</t>
  </si>
  <si>
    <t>Gachancipá</t>
  </si>
  <si>
    <t>Gachalá</t>
  </si>
  <si>
    <t>Fusagasugá</t>
  </si>
  <si>
    <t>Fúquene</t>
  </si>
  <si>
    <t>Funza</t>
  </si>
  <si>
    <t>Funes</t>
  </si>
  <si>
    <t>Fundación</t>
  </si>
  <si>
    <t>Fuente de Oro</t>
  </si>
  <si>
    <t>Frontino</t>
  </si>
  <si>
    <t>Fresno</t>
  </si>
  <si>
    <t>Fredonia</t>
  </si>
  <si>
    <t>Francisco Pizarro</t>
  </si>
  <si>
    <t>Fosca</t>
  </si>
  <si>
    <t>Fortul</t>
  </si>
  <si>
    <t>Fonseca</t>
  </si>
  <si>
    <t>Fómeque</t>
  </si>
  <si>
    <t>Floridablanca</t>
  </si>
  <si>
    <t>Florida</t>
  </si>
  <si>
    <t>Floresta</t>
  </si>
  <si>
    <t>Florencia</t>
  </si>
  <si>
    <t>Flandes</t>
  </si>
  <si>
    <t>Firavitoba</t>
  </si>
  <si>
    <t>Filandia</t>
  </si>
  <si>
    <t>Filadelfia</t>
  </si>
  <si>
    <t>Falán</t>
  </si>
  <si>
    <t>Facatativá</t>
  </si>
  <si>
    <t>Espinal</t>
  </si>
  <si>
    <t>Envigado</t>
  </si>
  <si>
    <t>Entrerríos</t>
  </si>
  <si>
    <t>Enciso</t>
  </si>
  <si>
    <t>Encino</t>
  </si>
  <si>
    <t>Elías</t>
  </si>
  <si>
    <t>El Zulia</t>
  </si>
  <si>
    <t>El Tarra</t>
  </si>
  <si>
    <t>El Tambo</t>
  </si>
  <si>
    <t>El Tablón</t>
  </si>
  <si>
    <t>El Rosario</t>
  </si>
  <si>
    <t>El Rosal</t>
  </si>
  <si>
    <t>El Roble</t>
  </si>
  <si>
    <t>El Retorno</t>
  </si>
  <si>
    <t>El Reten</t>
  </si>
  <si>
    <t>El Playón</t>
  </si>
  <si>
    <t>El Piñon</t>
  </si>
  <si>
    <t>El Peñón</t>
  </si>
  <si>
    <t>El Peñol</t>
  </si>
  <si>
    <t>El Paujil</t>
  </si>
  <si>
    <t>El Paso</t>
  </si>
  <si>
    <t>El Molino</t>
  </si>
  <si>
    <t>El Litoral del San Juan</t>
  </si>
  <si>
    <t>El Guamo</t>
  </si>
  <si>
    <t>El Guacamayo</t>
  </si>
  <si>
    <t>El Florian</t>
  </si>
  <si>
    <t>El Espino</t>
  </si>
  <si>
    <t>El Encanto</t>
  </si>
  <si>
    <t>El Dovio</t>
  </si>
  <si>
    <t>El Dorado</t>
  </si>
  <si>
    <t>El Doncello</t>
  </si>
  <si>
    <t>El Copey</t>
  </si>
  <si>
    <t>El Colegio</t>
  </si>
  <si>
    <t>El Cocuy</t>
  </si>
  <si>
    <t>El Charco</t>
  </si>
  <si>
    <t>El Cerrito</t>
  </si>
  <si>
    <t>El Castillo</t>
  </si>
  <si>
    <t>El Carmen de Chucurí</t>
  </si>
  <si>
    <t>El Carmen de Bolívar</t>
  </si>
  <si>
    <t>El Carmen de Atrato</t>
  </si>
  <si>
    <t>El Carmen</t>
  </si>
  <si>
    <t>El Calvario</t>
  </si>
  <si>
    <t>El Cairo</t>
  </si>
  <si>
    <t>El Banco</t>
  </si>
  <si>
    <t>El Bagre</t>
  </si>
  <si>
    <t>El Águila</t>
  </si>
  <si>
    <t>Ebéjico</t>
  </si>
  <si>
    <t>Durania</t>
  </si>
  <si>
    <t>Duitama</t>
  </si>
  <si>
    <t>Dos Quebradas</t>
  </si>
  <si>
    <t>Don Matías</t>
  </si>
  <si>
    <t>Dolores</t>
  </si>
  <si>
    <t>Distracción</t>
  </si>
  <si>
    <t>Dibulla</t>
  </si>
  <si>
    <t>Dagua</t>
  </si>
  <si>
    <t>Dabeiba</t>
  </si>
  <si>
    <t>Curumaní</t>
  </si>
  <si>
    <t>Currillo</t>
  </si>
  <si>
    <t>Curití</t>
  </si>
  <si>
    <t>Cunday</t>
  </si>
  <si>
    <t>Cumbitará</t>
  </si>
  <si>
    <t>Cumbal</t>
  </si>
  <si>
    <t>Cumaribo</t>
  </si>
  <si>
    <t>Cumaral</t>
  </si>
  <si>
    <t>Cuitiva</t>
  </si>
  <si>
    <t>Cucutilla</t>
  </si>
  <si>
    <t>Cúcuta</t>
  </si>
  <si>
    <t>Cucunubá</t>
  </si>
  <si>
    <t>Cucaita</t>
  </si>
  <si>
    <t>Cubará</t>
  </si>
  <si>
    <t>Cuaspud</t>
  </si>
  <si>
    <t>Cravo Norte</t>
  </si>
  <si>
    <t>Coyaima</t>
  </si>
  <si>
    <t>Covarachia</t>
  </si>
  <si>
    <t>Cotorra</t>
  </si>
  <si>
    <t>Cota</t>
  </si>
  <si>
    <t>Corrales</t>
  </si>
  <si>
    <t>Corozal</t>
  </si>
  <si>
    <t>Coromoro</t>
  </si>
  <si>
    <t>Corinto</t>
  </si>
  <si>
    <t>Córdoba</t>
  </si>
  <si>
    <t>Coper</t>
  </si>
  <si>
    <t>Copacabana</t>
  </si>
  <si>
    <t>Convención</t>
  </si>
  <si>
    <t>Contratación</t>
  </si>
  <si>
    <t>Contadero</t>
  </si>
  <si>
    <t>Consacá</t>
  </si>
  <si>
    <t>Confines</t>
  </si>
  <si>
    <t>Condoto</t>
  </si>
  <si>
    <t>Concordia</t>
  </si>
  <si>
    <t>Concepción</t>
  </si>
  <si>
    <t>Cómbita</t>
  </si>
  <si>
    <t>Coloso</t>
  </si>
  <si>
    <t>Colón</t>
  </si>
  <si>
    <t>Colombia</t>
  </si>
  <si>
    <t>Cogua</t>
  </si>
  <si>
    <t>Coello</t>
  </si>
  <si>
    <t>Cocorná</t>
  </si>
  <si>
    <t>Clemencia</t>
  </si>
  <si>
    <t>Ciudad Bolívar</t>
  </si>
  <si>
    <t>Cisneros</t>
  </si>
  <si>
    <t>Circasia</t>
  </si>
  <si>
    <t>Cimitarra</t>
  </si>
  <si>
    <t>Ciénega</t>
  </si>
  <si>
    <t>Ciénaga de Oro</t>
  </si>
  <si>
    <t>Ciénaga</t>
  </si>
  <si>
    <t>Cicuco</t>
  </si>
  <si>
    <t>Chocontá</t>
  </si>
  <si>
    <t>Choachí</t>
  </si>
  <si>
    <t>Chivor</t>
  </si>
  <si>
    <t>Chivolo</t>
  </si>
  <si>
    <t>Chivatá</t>
  </si>
  <si>
    <t>Chitaraque</t>
  </si>
  <si>
    <t>Chitagá</t>
  </si>
  <si>
    <t>Chita</t>
  </si>
  <si>
    <t>Chiscas</t>
  </si>
  <si>
    <t>Chiriguaná</t>
  </si>
  <si>
    <t>Chíquiza</t>
  </si>
  <si>
    <t>Chiquinquirá</t>
  </si>
  <si>
    <t>Chipatá</t>
  </si>
  <si>
    <t>Chipaque</t>
  </si>
  <si>
    <t>Chinú</t>
  </si>
  <si>
    <t>Chinchiná</t>
  </si>
  <si>
    <t>Chinavita</t>
  </si>
  <si>
    <t>Chinácota</t>
  </si>
  <si>
    <t>Chimichagua</t>
  </si>
  <si>
    <t>Chimá</t>
  </si>
  <si>
    <t>Chima</t>
  </si>
  <si>
    <t>Chigorodó</t>
  </si>
  <si>
    <t>Chía</t>
  </si>
  <si>
    <t>Charta</t>
  </si>
  <si>
    <t>Charalá</t>
  </si>
  <si>
    <t>Chaparral</t>
  </si>
  <si>
    <t>Chámeza</t>
  </si>
  <si>
    <t>Chalán</t>
  </si>
  <si>
    <t>Chaguaní</t>
  </si>
  <si>
    <t>Chachagui</t>
  </si>
  <si>
    <t>Certeguí</t>
  </si>
  <si>
    <t>Cerro San Antonio</t>
  </si>
  <si>
    <t>Cerrito</t>
  </si>
  <si>
    <t>Cerinza</t>
  </si>
  <si>
    <t>Cereté</t>
  </si>
  <si>
    <t>Cepitá</t>
  </si>
  <si>
    <t>Caucásia</t>
  </si>
  <si>
    <t>Castilla la Nueva</t>
  </si>
  <si>
    <t>Casabianca</t>
  </si>
  <si>
    <t>Carurú</t>
  </si>
  <si>
    <t>Cartago</t>
  </si>
  <si>
    <t>Cartagena del Chairá</t>
  </si>
  <si>
    <t>Cartagena</t>
  </si>
  <si>
    <t>Carolina</t>
  </si>
  <si>
    <t>Carmen del Darién</t>
  </si>
  <si>
    <t>Carmen De Viboral</t>
  </si>
  <si>
    <t>Carmen de Carupa</t>
  </si>
  <si>
    <t>Carmen Apicalá</t>
  </si>
  <si>
    <t>Carepa</t>
  </si>
  <si>
    <t>Carcasi</t>
  </si>
  <si>
    <t>Caramanta</t>
  </si>
  <si>
    <t>Caracolí</t>
  </si>
  <si>
    <t>Cáqueza</t>
  </si>
  <si>
    <t>Capitanejo</t>
  </si>
  <si>
    <t>Caparrapí</t>
  </si>
  <si>
    <t>Cañasgordas</t>
  </si>
  <si>
    <t>Cantón de San Pablo</t>
  </si>
  <si>
    <t>Cantagallo</t>
  </si>
  <si>
    <t>Candelaria</t>
  </si>
  <si>
    <t>Canalete</t>
  </si>
  <si>
    <t>Campohermoso</t>
  </si>
  <si>
    <t>Campoalegre</t>
  </si>
  <si>
    <t>Campo de la Cruz</t>
  </si>
  <si>
    <t>Campamento</t>
  </si>
  <si>
    <t>Caloto</t>
  </si>
  <si>
    <t>Calima</t>
  </si>
  <si>
    <t>California</t>
  </si>
  <si>
    <t>Cali</t>
  </si>
  <si>
    <t>Caldonó</t>
  </si>
  <si>
    <t>Caldas</t>
  </si>
  <si>
    <t>Calarcá</t>
  </si>
  <si>
    <t>Calamar</t>
  </si>
  <si>
    <t>Cajicá</t>
  </si>
  <si>
    <t>Cajibío</t>
  </si>
  <si>
    <t>Cajamarca</t>
  </si>
  <si>
    <t>Caimito</t>
  </si>
  <si>
    <t>Caicedonia</t>
  </si>
  <si>
    <t>Caicedo</t>
  </si>
  <si>
    <t>Cácota</t>
  </si>
  <si>
    <t>Cáchira</t>
  </si>
  <si>
    <t>Cachipay</t>
  </si>
  <si>
    <t>Cáceres</t>
  </si>
  <si>
    <t>Cacahual</t>
  </si>
  <si>
    <t>Cabuyaro</t>
  </si>
  <si>
    <t>Cabrera</t>
  </si>
  <si>
    <t>Busbanzá</t>
  </si>
  <si>
    <t>Buriticá</t>
  </si>
  <si>
    <t>Bugalagrande</t>
  </si>
  <si>
    <t>Buga</t>
  </si>
  <si>
    <t>Buesaco</t>
  </si>
  <si>
    <t>Buenos Aires</t>
  </si>
  <si>
    <t>Buenavista</t>
  </si>
  <si>
    <t>Buenaventura</t>
  </si>
  <si>
    <t>Bucarasica</t>
  </si>
  <si>
    <t>Bucaramanga</t>
  </si>
  <si>
    <t>Briceño</t>
  </si>
  <si>
    <t>Boyacá</t>
  </si>
  <si>
    <t>Bosconia</t>
  </si>
  <si>
    <t>Bolívar</t>
  </si>
  <si>
    <t>Bojayá</t>
  </si>
  <si>
    <t>Bojacá</t>
  </si>
  <si>
    <t>Bogotá D.C.</t>
  </si>
  <si>
    <t>Bochalema</t>
  </si>
  <si>
    <t>Boavita</t>
  </si>
  <si>
    <t>Bituima</t>
  </si>
  <si>
    <t>Betulia</t>
  </si>
  <si>
    <t>Beteitiva</t>
  </si>
  <si>
    <t>Betania</t>
  </si>
  <si>
    <t>Berbeo</t>
  </si>
  <si>
    <t>Beltrán</t>
  </si>
  <si>
    <t>Belmira</t>
  </si>
  <si>
    <t>Bello</t>
  </si>
  <si>
    <t>Belén de Umbría</t>
  </si>
  <si>
    <t>Belén de los Andaquíes</t>
  </si>
  <si>
    <t>Belén de Bajirá</t>
  </si>
  <si>
    <t>Belén</t>
  </si>
  <si>
    <t>Belalcázar</t>
  </si>
  <si>
    <t>Becerril</t>
  </si>
  <si>
    <t>Barranquilla</t>
  </si>
  <si>
    <t>Barranco Mina</t>
  </si>
  <si>
    <t>Barranco de Loba</t>
  </si>
  <si>
    <t>Barrancas</t>
  </si>
  <si>
    <t>Barrancabermeja</t>
  </si>
  <si>
    <t>Barranca de Upía</t>
  </si>
  <si>
    <t>Barichara</t>
  </si>
  <si>
    <t>Barbosa</t>
  </si>
  <si>
    <t>Barbacoas</t>
  </si>
  <si>
    <t>Baraya</t>
  </si>
  <si>
    <t>Baranoa</t>
  </si>
  <si>
    <t>Balboa</t>
  </si>
  <si>
    <t>Bajo Baudó</t>
  </si>
  <si>
    <t>Bahía Solano</t>
  </si>
  <si>
    <t>Bagadó</t>
  </si>
  <si>
    <t>Ayapel</t>
  </si>
  <si>
    <t>Atrato</t>
  </si>
  <si>
    <t>Ataco</t>
  </si>
  <si>
    <t>Astréa</t>
  </si>
  <si>
    <t>Arroyohondo</t>
  </si>
  <si>
    <t>Armero</t>
  </si>
  <si>
    <t>Armenia</t>
  </si>
  <si>
    <t>Arjona</t>
  </si>
  <si>
    <t>Ariguaní</t>
  </si>
  <si>
    <t>Argelia</t>
  </si>
  <si>
    <t>Arenal</t>
  </si>
  <si>
    <t>Arcabuco</t>
  </si>
  <si>
    <t>Arboletes</t>
  </si>
  <si>
    <t>Arboledas</t>
  </si>
  <si>
    <t>Arboleda</t>
  </si>
  <si>
    <t>Arbeláez</t>
  </si>
  <si>
    <t>Arauquita</t>
  </si>
  <si>
    <t>Arauca</t>
  </si>
  <si>
    <t>Aratoca</t>
  </si>
  <si>
    <t>Aranzazu</t>
  </si>
  <si>
    <t>Aracataca</t>
  </si>
  <si>
    <t>Aquitania</t>
  </si>
  <si>
    <t>Apulo</t>
  </si>
  <si>
    <t>Apía</t>
  </si>
  <si>
    <t>Apartadó</t>
  </si>
  <si>
    <t>Anzoátegui</t>
  </si>
  <si>
    <t>Anzá</t>
  </si>
  <si>
    <t>Ansermanuevo</t>
  </si>
  <si>
    <t>Anserma</t>
  </si>
  <si>
    <t>Anorí</t>
  </si>
  <si>
    <t>Anolaima</t>
  </si>
  <si>
    <t>Angostura</t>
  </si>
  <si>
    <t>Angelópolis</t>
  </si>
  <si>
    <t>Andes</t>
  </si>
  <si>
    <t>Andalucía</t>
  </si>
  <si>
    <t>Ancuyá</t>
  </si>
  <si>
    <t>Anapóima</t>
  </si>
  <si>
    <t>Ambalema</t>
  </si>
  <si>
    <t>Amalfi</t>
  </si>
  <si>
    <t>Amagá</t>
  </si>
  <si>
    <t>Alvarado</t>
  </si>
  <si>
    <t>Altos del Rosario</t>
  </si>
  <si>
    <t>Alto Baudó</t>
  </si>
  <si>
    <t>Altamira</t>
  </si>
  <si>
    <t>Alpujarra</t>
  </si>
  <si>
    <t>Almeida</t>
  </si>
  <si>
    <t>Almaguer</t>
  </si>
  <si>
    <t>Algeciras</t>
  </si>
  <si>
    <t>Algarrobo</t>
  </si>
  <si>
    <t>Alejandría</t>
  </si>
  <si>
    <t>Aldana</t>
  </si>
  <si>
    <t>Alcalá</t>
  </si>
  <si>
    <t>Albania</t>
  </si>
  <si>
    <t>Albán</t>
  </si>
  <si>
    <t>Aipe</t>
  </si>
  <si>
    <t>Agustín Codazzi</t>
  </si>
  <si>
    <t>Aguazul</t>
  </si>
  <si>
    <t>Aguadas</t>
  </si>
  <si>
    <t>Aguada</t>
  </si>
  <si>
    <t>Aguachica</t>
  </si>
  <si>
    <t>Agua de Dios</t>
  </si>
  <si>
    <t>Agrado</t>
  </si>
  <si>
    <t>Achí</t>
  </si>
  <si>
    <t>Acevedo</t>
  </si>
  <si>
    <t>Acandí</t>
  </si>
  <si>
    <t>4. Sistema estructural basado en muros de rigidez</t>
  </si>
  <si>
    <t>Acacias</t>
  </si>
  <si>
    <t>3. Pórticos arriostrados de acero estructural</t>
  </si>
  <si>
    <t>Abriaquí</t>
  </si>
  <si>
    <t>2. Pórticos de acero estructural resistente a momentos</t>
  </si>
  <si>
    <t>Abrego</t>
  </si>
  <si>
    <t>Abejorral</t>
  </si>
  <si>
    <t>Ad</t>
  </si>
  <si>
    <t>Ae</t>
  </si>
  <si>
    <t>Amenaza sísmica</t>
  </si>
  <si>
    <t>VELOCIDAD PICO EFECTIVA (Av)</t>
  </si>
  <si>
    <t>ACELERACIÓN PICO EFECTIVA (Aa)</t>
  </si>
  <si>
    <t>Código municipio</t>
  </si>
  <si>
    <t>Municipio</t>
  </si>
  <si>
    <t>Ubicación:</t>
  </si>
  <si>
    <t>Sistema estructural:</t>
  </si>
  <si>
    <t>Suelo\Aa</t>
  </si>
  <si>
    <t>Suelo\Av</t>
  </si>
  <si>
    <t>Tablas de valores para el cálculo del espectro Fa</t>
  </si>
  <si>
    <t>Tablas de valores para el cálculo del espectro Fv</t>
  </si>
  <si>
    <t>5. Combinado de porticos y muros de concreto reforzado</t>
  </si>
  <si>
    <t>Norosí</t>
  </si>
  <si>
    <t>Guachené</t>
  </si>
  <si>
    <t>San Jose de Uré</t>
  </si>
  <si>
    <t>Tuchín</t>
  </si>
  <si>
    <t>Coveñas</t>
  </si>
  <si>
    <t>Nivel Técnico N+37.8</t>
  </si>
  <si>
    <t>Nivel 15 N+35.28</t>
  </si>
  <si>
    <t>Nivel 14 N+32.76</t>
  </si>
  <si>
    <t>Nivel 13 N+30.24</t>
  </si>
  <si>
    <t>Nivel 12 N+27.72</t>
  </si>
  <si>
    <t>Nivel 11 N+25.2</t>
  </si>
  <si>
    <t>Nivel 10 N+22.68</t>
  </si>
  <si>
    <t>Nivel 9 N+20.16</t>
  </si>
  <si>
    <t>Nivel 8 N+17.64</t>
  </si>
  <si>
    <t>Nivel 7 N+15.12</t>
  </si>
  <si>
    <t>Nivel 6 N+12.6</t>
  </si>
  <si>
    <t>Nivel 5 N+10.08</t>
  </si>
  <si>
    <t>Nivel 4 N+7.56</t>
  </si>
  <si>
    <t>Nivel 3 N+5.04</t>
  </si>
  <si>
    <t>Nivel 2 N+2.52</t>
  </si>
  <si>
    <t>Nivel 1 N +0.00</t>
  </si>
  <si>
    <t>Base N-2.52</t>
  </si>
  <si>
    <t xml:space="preserve">M cr:  </t>
  </si>
  <si>
    <t xml:space="preserve">Ma: </t>
  </si>
  <si>
    <t xml:space="preserve">Ig: </t>
  </si>
  <si>
    <t xml:space="preserve">Icr: </t>
  </si>
  <si>
    <t>Número de pisos:</t>
  </si>
  <si>
    <t>Coeficiente de amplificación que afecta la aceleración en la zona de períodos intermedios.</t>
  </si>
  <si>
    <t>Altura edificio (m):</t>
  </si>
  <si>
    <t>Ro</t>
  </si>
  <si>
    <t>Muros de mamposteria reforzada de bloque perf. Vert. (DES)</t>
  </si>
  <si>
    <t>Muros de mamposteria reforzada de bloque perf. Vert. (DMO)</t>
  </si>
  <si>
    <t xml:space="preserve">Muros de mamposteria parcialmente reforzada de bloque perf. Vert. </t>
  </si>
  <si>
    <t>Porticos resistentes a momentos de concreto (DES)</t>
  </si>
  <si>
    <t>Porticos resistentes a momentos de acero (DES)</t>
  </si>
  <si>
    <t>Porticos resistentes a momentos de acero perfiles de lamina y PTE (DMI)</t>
  </si>
  <si>
    <t>Estructura de pendulo invertido de porticos de acero resistente momt. (DES)</t>
  </si>
  <si>
    <t>Sistema estructural (tablas A.3-1:3 de la NSR-10)</t>
  </si>
  <si>
    <t>Porticos resistentes a momentos de concreto (DMO)</t>
  </si>
  <si>
    <t>Muros estructurales de concreto (DES)</t>
  </si>
  <si>
    <t>Ωo</t>
  </si>
  <si>
    <t>Rx/Ry &lt; 1.25</t>
  </si>
  <si>
    <r>
      <t>g</t>
    </r>
    <r>
      <rPr>
        <vertAlign val="subscript"/>
        <sz val="10"/>
        <rFont val="Arial"/>
        <family val="2"/>
      </rPr>
      <t>mamp</t>
    </r>
    <r>
      <rPr>
        <sz val="10"/>
        <rFont val="Arial"/>
        <family val="2"/>
      </rPr>
      <t xml:space="preserve"> =</t>
    </r>
  </si>
  <si>
    <t>CARGA DE MUROS CONCRETO</t>
  </si>
  <si>
    <t>CARGA DE MUROS MAMPOSTERIA</t>
  </si>
  <si>
    <t>CARGA</t>
  </si>
  <si>
    <t>ALTURA MURO</t>
  </si>
  <si>
    <t>TIPO</t>
  </si>
  <si>
    <t>Carga muertas (kN/m2)</t>
  </si>
  <si>
    <t>Mamposteria de arcilla  e = 0.10m</t>
  </si>
  <si>
    <t>Mamposteria de arcilla  e = 0.15m</t>
  </si>
  <si>
    <t>Mamposteria de arcilla  e = 0.20m</t>
  </si>
  <si>
    <t>Mamposteria de arcilla  e = 0.25m</t>
  </si>
  <si>
    <t>Mamposteria de arcilla  e = 0.30m</t>
  </si>
  <si>
    <t>Mamposteria de concreto e = 0.10m</t>
  </si>
  <si>
    <t>Mamposteria de concreto e = 0.15m</t>
  </si>
  <si>
    <t>Mamposteria de concreto e = 0.20m</t>
  </si>
  <si>
    <t>Mamposteria de concreto e = 0.25m</t>
  </si>
  <si>
    <t>Mamposteria de concreto e = 0.30m</t>
  </si>
  <si>
    <t>ALTURA VENT.</t>
  </si>
  <si>
    <t xml:space="preserve">CARGAS MUERTAS MUROS </t>
  </si>
  <si>
    <t>CARGAS VIVAS</t>
  </si>
  <si>
    <t>Reuniones</t>
  </si>
  <si>
    <t>Balcones</t>
  </si>
  <si>
    <t>Corredores y escaleras</t>
  </si>
  <si>
    <t>Silletería fija (fijada al piso)</t>
  </si>
  <si>
    <t>Silletería movil</t>
  </si>
  <si>
    <t>Plataformas</t>
  </si>
  <si>
    <t>Restaurantes</t>
  </si>
  <si>
    <t>Salones de clase</t>
  </si>
  <si>
    <t>Educativos</t>
  </si>
  <si>
    <t>Residencial</t>
  </si>
  <si>
    <t>Cuartos privados y sus corredores</t>
  </si>
  <si>
    <t>Escaleras</t>
  </si>
  <si>
    <t>Livianos</t>
  </si>
  <si>
    <t>Pesado</t>
  </si>
  <si>
    <t>Garajes para automoviles de pasajeros</t>
  </si>
  <si>
    <t>Garajes para vehiculos de carga hasta 2 toneladas.</t>
  </si>
  <si>
    <t>Garajes</t>
  </si>
  <si>
    <t xml:space="preserve"> MUROS NO ESTRUCTURALES tabla B.3.4.2-4</t>
  </si>
  <si>
    <t>MUROS NO ESTRUCTURALES tabla B.3.4.2-4</t>
  </si>
  <si>
    <t>Tipo de ocupacion</t>
  </si>
  <si>
    <t>Categoria</t>
  </si>
  <si>
    <t>Carga kN/m2</t>
  </si>
  <si>
    <t>Bibliotecas - Salón lectura</t>
  </si>
  <si>
    <t>Bibliotecas - Estanterias</t>
  </si>
  <si>
    <t>TIPO DE OCUPACIONES</t>
  </si>
  <si>
    <t>CATEGORIA</t>
  </si>
  <si>
    <t>El indice de estabilidad Qi en cualquier piso no debe exceder 0.30.</t>
  </si>
  <si>
    <t>Cuando Qi es mayor a 0.30, la estructura es potencialmente inestable y debe rigidizarse.</t>
  </si>
  <si>
    <t>A continuacion se presenta la rigidez de los pisos:</t>
  </si>
  <si>
    <t>CASO DE
 CARGAS</t>
  </si>
  <si>
    <t>Shear X</t>
  </si>
  <si>
    <t>Drift X</t>
  </si>
  <si>
    <t>Stiff X</t>
  </si>
  <si>
    <t>Shear Y</t>
  </si>
  <si>
    <t>Drift Y</t>
  </si>
  <si>
    <t>Stiff Y</t>
  </si>
  <si>
    <t>kN/m</t>
  </si>
  <si>
    <t>Story</t>
  </si>
  <si>
    <t>Pi</t>
  </si>
  <si>
    <t>H piso</t>
  </si>
  <si>
    <t xml:space="preserve">Elevación </t>
  </si>
  <si>
    <t>Load Case</t>
  </si>
  <si>
    <r>
      <t>Q</t>
    </r>
    <r>
      <rPr>
        <b/>
        <vertAlign val="subscript"/>
        <sz val="20"/>
        <rFont val="Arial"/>
        <family val="2"/>
      </rPr>
      <t>i</t>
    </r>
  </si>
  <si>
    <t>A continuacion se presenta la verificacion de indice de estabilidad Q</t>
  </si>
  <si>
    <t>XX</t>
  </si>
  <si>
    <t>YY</t>
  </si>
  <si>
    <t>Indice de estabilidad Q</t>
  </si>
  <si>
    <t>Limite considerar efectos P-DELTA</t>
  </si>
  <si>
    <t>Limite estructura INESTABLE</t>
  </si>
  <si>
    <t>SEPARACIONES ENTRE ESTRUCTURAS ADYACENTES POR CONSIDERACIONES SISMICAS</t>
  </si>
  <si>
    <t>En la seccion A.6.5 se presentan consideraciones para calcular la separacion sismica entre edificaciones vecinas. (ver Tabla A.6.5-1)</t>
  </si>
  <si>
    <t>PARA LA TORRE SE PRESENTAN LOS SIGUIENTES DATOS:</t>
  </si>
  <si>
    <t>DESPLAZAMIENTO MAXIMO</t>
  </si>
  <si>
    <t>DESPLAZAMIENTO MÍNIMO</t>
  </si>
  <si>
    <t>Zona 3</t>
  </si>
  <si>
    <t>MUROS</t>
  </si>
  <si>
    <t>Espacio fijo, no inserte filas - 708</t>
  </si>
  <si>
    <t>Baldosa ceramica+ 25mm de mortero</t>
  </si>
  <si>
    <t>(Peso específico de la mampostería)</t>
  </si>
  <si>
    <t>Muros no estructurales de división liviana</t>
  </si>
  <si>
    <t>LOSA NIVEL CUBIERTA</t>
  </si>
  <si>
    <t>LOSA APARATAMENTOS</t>
  </si>
  <si>
    <t>Carga viva (Lr):</t>
  </si>
  <si>
    <t>Carga viva de cubierta liviana</t>
  </si>
  <si>
    <t>Carga viva de cubierta de losa</t>
  </si>
  <si>
    <t>CUBIERTA LIVIANA</t>
  </si>
  <si>
    <t>Teja de fibrocemento</t>
  </si>
  <si>
    <t>Correas metálicas</t>
  </si>
  <si>
    <t>Cielo raso en yeso</t>
  </si>
  <si>
    <t>Espesor equivalente</t>
  </si>
  <si>
    <r>
      <t>W</t>
    </r>
    <r>
      <rPr>
        <sz val="8"/>
        <rFont val="Arial"/>
        <family val="2"/>
      </rPr>
      <t>antepecho</t>
    </r>
    <r>
      <rPr>
        <sz val="10"/>
        <rFont val="Arial"/>
        <family val="2"/>
      </rPr>
      <t xml:space="preserve"> =</t>
    </r>
  </si>
  <si>
    <t>PERGOLA</t>
  </si>
  <si>
    <t>Correas metálicas en las pérgolas</t>
  </si>
  <si>
    <t>LOSA APARATAMENTOS PISO 1 AL 12</t>
  </si>
  <si>
    <t>Peso propio de losa</t>
  </si>
  <si>
    <t>W</t>
  </si>
  <si>
    <t>Losa de 12 cm de espesor</t>
  </si>
  <si>
    <t>Cálculo de la carga de escaleras</t>
  </si>
  <si>
    <t>Cálculo de la carga de rampa</t>
  </si>
  <si>
    <t>Cálculo de la carga del sobre recorrido del cuarto de máquinas</t>
  </si>
  <si>
    <t>Ancho aferente largo</t>
  </si>
  <si>
    <t>Longitud plana escaleras</t>
  </si>
  <si>
    <t>Ancho aferente corto</t>
  </si>
  <si>
    <t>Longitud inclinada escaleras</t>
  </si>
  <si>
    <t>Cargas muertas</t>
  </si>
  <si>
    <t>Losa de concreto del C. maq_vigas largas</t>
  </si>
  <si>
    <t>Losa de concreto del C. maq_vigas cortas</t>
  </si>
  <si>
    <t>Carga viva, longitud larga</t>
  </si>
  <si>
    <t>Carga viva, longitud corta</t>
  </si>
  <si>
    <t>Losa de 15 cm espesor</t>
  </si>
  <si>
    <t>TOTAL CARGADO</t>
  </si>
  <si>
    <t>Carga viva PARTE PLANA</t>
  </si>
  <si>
    <t>Mamposteria de concreto e = 0.12m</t>
  </si>
  <si>
    <t>Mamposteria de concreto e = 0.16m</t>
  </si>
  <si>
    <t>CARGA DE MUROS CONCRETO con ventana</t>
  </si>
  <si>
    <t>presión de viento calculada</t>
  </si>
  <si>
    <t>Coef.de velocidad horizontal pico efectiva (para Pereira)</t>
  </si>
  <si>
    <t>Microzonificación sismica</t>
  </si>
  <si>
    <t xml:space="preserve">Espacio fijo, no inserte filas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</si>
</sst>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&quot;$&quot;#,##0.00_);[Red]\(&quot;$&quot;#,##0.00\)"/>
    <numFmt numFmtId="167" formatCode="0.0"/>
    <numFmt numFmtId="168" formatCode="0.00\ &quot;s&quot;"/>
    <numFmt numFmtId="169" formatCode="0.000"/>
    <numFmt numFmtId="170" formatCode="_ * #,##0.00_ &quot;m&quot;;_ * \-#,##0.00_ ;_ * &quot;-&quot;??_ ;_ @_ "/>
    <numFmt numFmtId="171" formatCode="_ * #,##0.00_ &quot;kN/m²&quot;;_ * \-#,##0.00_ ;_ * &quot;-&quot;??_ ;_ @_ "/>
    <numFmt numFmtId="172" formatCode="_ * #,##0_ &quot;kN/m³&quot;;_ * \-#,##0_ ;_ * &quot;-&quot;??_ ;_ @_ "/>
    <numFmt numFmtId="173" formatCode="_ * #,##0.00_ &quot;kN/m&quot;;_ * \-#,##0.00_ ;_ * &quot;-&quot;??_ ;_ @_ "/>
    <numFmt numFmtId="174" formatCode="_ * #,##0.00_ &quot;s&quot;;_ * \-#,##0.00_ ;_ * &quot;-&quot;??_ ;_ @_ "/>
    <numFmt numFmtId="175" formatCode="0.0000"/>
    <numFmt numFmtId="176" formatCode="_-[$€-2]\ * #,##0.00_-;\-[$€-2]\ * #,##0.00_-;_-[$€-2]\ * &quot;-&quot;??_-"/>
    <numFmt numFmtId="177" formatCode="0.000\ &quot;s&quot;"/>
    <numFmt numFmtId="178" formatCode="_(* #,##0.0000_);_(* \(#,##0.0000\);_(* &quot;-&quot;??_);_(@_)"/>
    <numFmt numFmtId="179" formatCode="0.0000E+00"/>
    <numFmt numFmtId="180" formatCode="#,##0.000"/>
    <numFmt numFmtId="181" formatCode="_(* #,##0_);_(* \(#,##0\);_(* &quot;-&quot;??_);_(@_)"/>
    <numFmt numFmtId="182" formatCode="0.000%"/>
    <numFmt numFmtId="183" formatCode="_-* #,##0.0_-;\-* #,##0.0_-;_-* &quot;-&quot;?_-;_-@_-"/>
    <numFmt numFmtId="184" formatCode="0.00000"/>
    <numFmt numFmtId="185" formatCode="0.0000%"/>
    <numFmt numFmtId="186" formatCode="&quot;I=&quot;0.00"/>
    <numFmt numFmtId="187" formatCode="#,##0.000\ \ &quot;m&quot;"/>
    <numFmt numFmtId="188" formatCode="_(* #,##0.000_);_(* \(#,##0.000\);_(* &quot;-&quot;??_);_(@_)"/>
    <numFmt numFmtId="189" formatCode="_ * #,##0.0_ &quot;kN/m³&quot;;_ * \-#,##0.0_ ;_ * &quot;-&quot;??_ ;_ @_ "/>
    <numFmt numFmtId="190" formatCode="#,##0.0\ &quot;kN/m2&quot;"/>
    <numFmt numFmtId="191" formatCode="_-* #,##0.000\ _$_-;\-* #,##0.000\ _$_-;_-* &quot;-&quot;??\ _$_-;_-@_-"/>
    <numFmt numFmtId="192" formatCode="_-* #,##0.000_-;\-* #,##0.000_-;_-* &quot;-&quot;_-;_-@_-"/>
  </numFmts>
  <fonts count="19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vertAlign val="subscript"/>
      <sz val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mbol"/>
      <family val="1"/>
      <charset val="2"/>
    </font>
    <font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i/>
      <sz val="8"/>
      <name val="Arial"/>
      <family val="2"/>
    </font>
    <font>
      <sz val="10"/>
      <name val="Times New Roman"/>
      <family val="1"/>
    </font>
    <font>
      <vertAlign val="subscript"/>
      <sz val="9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8"/>
      <color indexed="12"/>
      <name val="Tahoma"/>
      <family val="2"/>
    </font>
    <font>
      <b/>
      <sz val="8"/>
      <color indexed="81"/>
      <name val="Tahoma"/>
      <family val="2"/>
    </font>
    <font>
      <sz val="10"/>
      <color indexed="12"/>
      <name val="Arial"/>
      <family val="2"/>
    </font>
    <font>
      <b/>
      <i/>
      <sz val="11"/>
      <name val="Arial"/>
      <family val="2"/>
    </font>
    <font>
      <b/>
      <u/>
      <sz val="11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sz val="12"/>
      <name val="Calibri"/>
      <family val="2"/>
    </font>
    <font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9.5"/>
      <name val="Arial"/>
      <family val="2"/>
    </font>
    <font>
      <b/>
      <sz val="11"/>
      <color theme="1"/>
      <name val="Symbol"/>
      <family val="1"/>
      <charset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indexed="8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color indexed="8"/>
      <name val="Calibri"/>
      <family val="2"/>
    </font>
    <font>
      <b/>
      <sz val="11"/>
      <color indexed="8"/>
      <name val="Symbol"/>
      <family val="1"/>
      <charset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vertAlign val="superscript"/>
      <sz val="10"/>
      <name val="Arial"/>
      <family val="2"/>
    </font>
    <font>
      <b/>
      <sz val="10"/>
      <name val="Symbol"/>
      <family val="1"/>
      <charset val="2"/>
    </font>
    <font>
      <b/>
      <vertAlign val="subscript"/>
      <sz val="10"/>
      <name val="Arial"/>
      <family val="2"/>
    </font>
    <font>
      <sz val="10"/>
      <color theme="0"/>
      <name val="Arial"/>
      <family val="2"/>
    </font>
    <font>
      <vertAlign val="subscript"/>
      <sz val="11"/>
      <name val="Arial"/>
      <family val="2"/>
    </font>
    <font>
      <b/>
      <vertAlign val="superscript"/>
      <sz val="10"/>
      <name val="Arial"/>
      <family val="2"/>
    </font>
    <font>
      <b/>
      <sz val="9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ptos Narrow"/>
      <family val="2"/>
    </font>
    <font>
      <sz val="11"/>
      <name val="Aptos Narrow"/>
      <family val="2"/>
    </font>
    <font>
      <b/>
      <sz val="20"/>
      <color theme="1"/>
      <name val="Calibri"/>
      <family val="2"/>
      <scheme val="minor"/>
    </font>
    <font>
      <b/>
      <vertAlign val="subscript"/>
      <sz val="20"/>
      <name val="Arial"/>
      <family val="2"/>
    </font>
    <font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/>
      <diagonal/>
    </border>
  </borders>
  <cellStyleXfs count="236">
    <xf numFmtId="0" fontId="0" fillId="0" borderId="0"/>
    <xf numFmtId="176" fontId="132" fillId="0" borderId="0" applyFont="0" applyFill="0" applyBorder="0" applyAlignment="0" applyProtection="0"/>
    <xf numFmtId="176" fontId="139" fillId="0" borderId="0" applyFont="0" applyFill="0" applyBorder="0" applyAlignment="0" applyProtection="0"/>
    <xf numFmtId="164" fontId="132" fillId="0" borderId="0" applyFont="0" applyFill="0" applyBorder="0" applyAlignment="0" applyProtection="0"/>
    <xf numFmtId="165" fontId="132" fillId="0" borderId="0" applyFont="0" applyFill="0" applyBorder="0" applyAlignment="0" applyProtection="0"/>
    <xf numFmtId="0" fontId="161" fillId="0" borderId="0"/>
    <xf numFmtId="0" fontId="139" fillId="0" borderId="0"/>
    <xf numFmtId="9" fontId="132" fillId="0" borderId="0" applyFont="0" applyFill="0" applyBorder="0" applyAlignment="0" applyProtection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41" fontId="164" fillId="0" borderId="0" applyFont="0" applyFill="0" applyBorder="0" applyAlignment="0" applyProtection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32" fillId="0" borderId="0"/>
    <xf numFmtId="176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" fillId="0" borderId="0"/>
    <xf numFmtId="0" fontId="1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3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0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9" fillId="0" borderId="0"/>
    <xf numFmtId="0" fontId="189" fillId="0" borderId="0"/>
  </cellStyleXfs>
  <cellXfs count="537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133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37" fillId="2" borderId="0" xfId="0" applyFont="1" applyFill="1" applyAlignment="1">
      <alignment vertical="center"/>
    </xf>
    <xf numFmtId="0" fontId="139" fillId="2" borderId="0" xfId="0" applyFont="1" applyFill="1" applyAlignment="1">
      <alignment vertical="center"/>
    </xf>
    <xf numFmtId="0" fontId="140" fillId="2" borderId="0" xfId="0" applyFont="1" applyFill="1" applyAlignment="1">
      <alignment vertical="center"/>
    </xf>
    <xf numFmtId="0" fontId="139" fillId="2" borderId="0" xfId="0" applyFont="1" applyFill="1" applyAlignment="1">
      <alignment horizontal="left" vertical="center"/>
    </xf>
    <xf numFmtId="0" fontId="141" fillId="2" borderId="0" xfId="0" applyFont="1" applyFill="1" applyAlignment="1">
      <alignment vertical="center"/>
    </xf>
    <xf numFmtId="0" fontId="138" fillId="2" borderId="0" xfId="0" applyFont="1" applyFill="1" applyAlignment="1">
      <alignment vertical="center"/>
    </xf>
    <xf numFmtId="0" fontId="139" fillId="2" borderId="0" xfId="0" applyFont="1" applyFill="1" applyAlignment="1">
      <alignment horizontal="center" vertical="center"/>
    </xf>
    <xf numFmtId="2" fontId="135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135" fillId="2" borderId="0" xfId="0" applyFont="1" applyFill="1" applyAlignment="1">
      <alignment vertical="center"/>
    </xf>
    <xf numFmtId="3" fontId="0" fillId="2" borderId="0" xfId="0" applyNumberFormat="1" applyFill="1" applyAlignment="1">
      <alignment horizontal="center"/>
    </xf>
    <xf numFmtId="0" fontId="139" fillId="2" borderId="0" xfId="0" applyFont="1" applyFill="1" applyAlignment="1">
      <alignment horizontal="center"/>
    </xf>
    <xf numFmtId="0" fontId="132" fillId="2" borderId="0" xfId="0" applyFont="1" applyFill="1" applyAlignment="1">
      <alignment vertical="center"/>
    </xf>
    <xf numFmtId="0" fontId="147" fillId="2" borderId="0" xfId="0" applyFont="1" applyFill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136" fillId="2" borderId="0" xfId="0" applyFont="1" applyFill="1" applyAlignment="1">
      <alignment vertical="center"/>
    </xf>
    <xf numFmtId="0" fontId="148" fillId="2" borderId="0" xfId="0" applyFont="1" applyFill="1" applyAlignment="1">
      <alignment vertical="center"/>
    </xf>
    <xf numFmtId="166" fontId="0" fillId="2" borderId="0" xfId="0" applyNumberFormat="1" applyFill="1" applyAlignment="1">
      <alignment vertical="center"/>
    </xf>
    <xf numFmtId="172" fontId="135" fillId="2" borderId="0" xfId="0" applyNumberFormat="1" applyFont="1" applyFill="1" applyAlignment="1">
      <alignment horizontal="center" vertical="center" wrapText="1" shrinkToFit="1"/>
    </xf>
    <xf numFmtId="171" fontId="135" fillId="2" borderId="0" xfId="4" applyNumberFormat="1" applyFont="1" applyFill="1" applyBorder="1" applyAlignment="1">
      <alignment horizontal="center" vertical="center" wrapText="1" shrinkToFit="1"/>
    </xf>
    <xf numFmtId="2" fontId="0" fillId="2" borderId="0" xfId="0" applyNumberFormat="1" applyFill="1" applyAlignment="1">
      <alignment vertical="center"/>
    </xf>
    <xf numFmtId="0" fontId="142" fillId="2" borderId="0" xfId="0" applyFont="1" applyFill="1" applyAlignment="1">
      <alignment vertical="center"/>
    </xf>
    <xf numFmtId="170" fontId="135" fillId="2" borderId="0" xfId="0" applyNumberFormat="1" applyFont="1" applyFill="1" applyAlignment="1">
      <alignment horizontal="left" vertical="center" wrapText="1" shrinkToFit="1"/>
    </xf>
    <xf numFmtId="0" fontId="152" fillId="2" borderId="0" xfId="0" applyFont="1" applyFill="1" applyAlignment="1">
      <alignment horizontal="center" vertical="center" wrapText="1"/>
    </xf>
    <xf numFmtId="0" fontId="151" fillId="2" borderId="0" xfId="0" applyFont="1" applyFill="1" applyAlignment="1">
      <alignment vertical="center"/>
    </xf>
    <xf numFmtId="0" fontId="153" fillId="2" borderId="0" xfId="0" applyFont="1" applyFill="1" applyAlignment="1">
      <alignment vertical="center"/>
    </xf>
    <xf numFmtId="169" fontId="133" fillId="2" borderId="0" xfId="0" applyNumberFormat="1" applyFont="1" applyFill="1" applyAlignment="1">
      <alignment vertical="center"/>
    </xf>
    <xf numFmtId="0" fontId="154" fillId="2" borderId="0" xfId="0" applyFont="1" applyFill="1" applyAlignment="1">
      <alignment vertical="center"/>
    </xf>
    <xf numFmtId="0" fontId="139" fillId="2" borderId="2" xfId="0" applyFont="1" applyFill="1" applyBorder="1" applyAlignment="1">
      <alignment horizontal="center" vertical="center"/>
    </xf>
    <xf numFmtId="168" fontId="0" fillId="2" borderId="0" xfId="0" applyNumberFormat="1" applyFill="1" applyAlignment="1">
      <alignment horizontal="left" vertical="center"/>
    </xf>
    <xf numFmtId="3" fontId="147" fillId="2" borderId="0" xfId="0" applyNumberFormat="1" applyFont="1" applyFill="1" applyAlignment="1">
      <alignment horizontal="center" vertical="center"/>
    </xf>
    <xf numFmtId="0" fontId="139" fillId="0" borderId="0" xfId="0" applyFont="1"/>
    <xf numFmtId="0" fontId="145" fillId="2" borderId="0" xfId="0" applyFont="1" applyFill="1" applyAlignment="1">
      <alignment horizontal="center" vertical="center"/>
    </xf>
    <xf numFmtId="0" fontId="137" fillId="2" borderId="0" xfId="0" applyFont="1" applyFill="1" applyAlignment="1">
      <alignment horizontal="right" vertical="center"/>
    </xf>
    <xf numFmtId="2" fontId="0" fillId="0" borderId="0" xfId="0" applyNumberFormat="1"/>
    <xf numFmtId="174" fontId="0" fillId="2" borderId="0" xfId="0" applyNumberFormat="1" applyFill="1" applyAlignment="1">
      <alignment vertical="center" wrapText="1" shrinkToFit="1"/>
    </xf>
    <xf numFmtId="0" fontId="0" fillId="0" borderId="0" xfId="0" applyAlignment="1">
      <alignment horizontal="left"/>
    </xf>
    <xf numFmtId="0" fontId="139" fillId="0" borderId="0" xfId="0" applyFont="1" applyAlignment="1">
      <alignment horizontal="left"/>
    </xf>
    <xf numFmtId="0" fontId="0" fillId="0" borderId="0" xfId="0" applyAlignment="1">
      <alignment vertical="center"/>
    </xf>
    <xf numFmtId="0" fontId="139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5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167" fontId="0" fillId="3" borderId="0" xfId="0" applyNumberFormat="1" applyFill="1" applyAlignment="1">
      <alignment horizontal="left" vertical="center"/>
    </xf>
    <xf numFmtId="0" fontId="143" fillId="3" borderId="0" xfId="0" applyFont="1" applyFill="1" applyAlignment="1">
      <alignment vertical="center"/>
    </xf>
    <xf numFmtId="0" fontId="145" fillId="3" borderId="0" xfId="0" applyFont="1" applyFill="1" applyAlignment="1">
      <alignment horizontal="center" vertical="center"/>
    </xf>
    <xf numFmtId="0" fontId="139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5" fontId="0" fillId="0" borderId="0" xfId="0" applyNumberFormat="1"/>
    <xf numFmtId="0" fontId="133" fillId="4" borderId="3" xfId="0" applyFont="1" applyFill="1" applyBorder="1"/>
    <xf numFmtId="0" fontId="0" fillId="4" borderId="4" xfId="0" applyFill="1" applyBorder="1"/>
    <xf numFmtId="0" fontId="133" fillId="4" borderId="5" xfId="0" applyFont="1" applyFill="1" applyBorder="1"/>
    <xf numFmtId="0" fontId="133" fillId="4" borderId="6" xfId="0" applyFont="1" applyFill="1" applyBorder="1"/>
    <xf numFmtId="0" fontId="0" fillId="0" borderId="7" xfId="0" applyBorder="1"/>
    <xf numFmtId="0" fontId="133" fillId="4" borderId="8" xfId="0" applyFont="1" applyFill="1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0" fillId="4" borderId="6" xfId="0" applyFill="1" applyBorder="1"/>
    <xf numFmtId="0" fontId="133" fillId="0" borderId="0" xfId="0" applyFont="1"/>
    <xf numFmtId="0" fontId="0" fillId="4" borderId="8" xfId="0" applyFill="1" applyBorder="1"/>
    <xf numFmtId="0" fontId="133" fillId="0" borderId="9" xfId="0" applyFont="1" applyBorder="1"/>
    <xf numFmtId="0" fontId="0" fillId="3" borderId="0" xfId="0" applyFill="1"/>
    <xf numFmtId="2" fontId="145" fillId="3" borderId="0" xfId="0" applyNumberFormat="1" applyFont="1" applyFill="1" applyAlignment="1">
      <alignment horizontal="center" vertical="center"/>
    </xf>
    <xf numFmtId="2" fontId="0" fillId="3" borderId="0" xfId="0" applyNumberFormat="1" applyFill="1"/>
    <xf numFmtId="0" fontId="133" fillId="3" borderId="0" xfId="0" applyFont="1" applyFill="1" applyAlignment="1">
      <alignment horizontal="left" vertical="center"/>
    </xf>
    <xf numFmtId="0" fontId="133" fillId="3" borderId="0" xfId="0" applyFont="1" applyFill="1"/>
    <xf numFmtId="0" fontId="139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/>
    </xf>
    <xf numFmtId="0" fontId="139" fillId="3" borderId="0" xfId="0" applyFont="1" applyFill="1" applyAlignment="1">
      <alignment horizontal="left"/>
    </xf>
    <xf numFmtId="0" fontId="139" fillId="2" borderId="1" xfId="0" applyFont="1" applyFill="1" applyBorder="1" applyAlignment="1">
      <alignment horizontal="center" vertical="center"/>
    </xf>
    <xf numFmtId="2" fontId="139" fillId="2" borderId="1" xfId="0" applyNumberFormat="1" applyFont="1" applyFill="1" applyBorder="1" applyAlignment="1">
      <alignment horizontal="center" vertical="center"/>
    </xf>
    <xf numFmtId="0" fontId="135" fillId="0" borderId="0" xfId="0" applyFont="1" applyAlignment="1">
      <alignment vertical="center"/>
    </xf>
    <xf numFmtId="0" fontId="139" fillId="2" borderId="0" xfId="0" applyFont="1" applyFill="1" applyAlignment="1">
      <alignment horizontal="right" vertical="center"/>
    </xf>
    <xf numFmtId="167" fontId="151" fillId="2" borderId="0" xfId="0" applyNumberFormat="1" applyFont="1" applyFill="1" applyAlignment="1">
      <alignment horizontal="center" vertical="center"/>
    </xf>
    <xf numFmtId="0" fontId="162" fillId="2" borderId="0" xfId="0" applyFont="1" applyFill="1" applyAlignment="1">
      <alignment vertical="center"/>
    </xf>
    <xf numFmtId="0" fontId="139" fillId="3" borderId="0" xfId="0" applyFont="1" applyFill="1"/>
    <xf numFmtId="0" fontId="158" fillId="3" borderId="0" xfId="0" applyFont="1" applyFill="1"/>
    <xf numFmtId="0" fontId="136" fillId="3" borderId="0" xfId="0" applyFont="1" applyFill="1" applyAlignment="1">
      <alignment vertical="center"/>
    </xf>
    <xf numFmtId="0" fontId="135" fillId="3" borderId="0" xfId="0" applyFont="1" applyFill="1" applyAlignment="1">
      <alignment vertical="center"/>
    </xf>
    <xf numFmtId="0" fontId="133" fillId="3" borderId="0" xfId="0" applyFont="1" applyFill="1" applyAlignment="1">
      <alignment vertical="center"/>
    </xf>
    <xf numFmtId="0" fontId="148" fillId="3" borderId="0" xfId="0" applyFont="1" applyFill="1" applyAlignment="1">
      <alignment vertical="center"/>
    </xf>
    <xf numFmtId="0" fontId="139" fillId="3" borderId="1" xfId="0" applyFont="1" applyFill="1" applyBorder="1" applyAlignment="1">
      <alignment horizontal="center" vertical="center"/>
    </xf>
    <xf numFmtId="0" fontId="138" fillId="3" borderId="1" xfId="0" applyFont="1" applyFill="1" applyBorder="1" applyAlignment="1">
      <alignment horizontal="center" vertical="center"/>
    </xf>
    <xf numFmtId="2" fontId="139" fillId="3" borderId="1" xfId="0" applyNumberFormat="1" applyFont="1" applyFill="1" applyBorder="1" applyAlignment="1">
      <alignment horizontal="center" vertical="center"/>
    </xf>
    <xf numFmtId="0" fontId="138" fillId="3" borderId="0" xfId="0" applyFont="1" applyFill="1" applyAlignment="1">
      <alignment horizontal="center" vertical="center"/>
    </xf>
    <xf numFmtId="0" fontId="139" fillId="3" borderId="0" xfId="0" applyFont="1" applyFill="1" applyAlignment="1">
      <alignment horizontal="right" vertical="center"/>
    </xf>
    <xf numFmtId="2" fontId="139" fillId="3" borderId="0" xfId="0" applyNumberFormat="1" applyFont="1" applyFill="1" applyAlignment="1">
      <alignment horizontal="left" vertical="center"/>
    </xf>
    <xf numFmtId="0" fontId="133" fillId="2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 vertical="center"/>
    </xf>
    <xf numFmtId="0" fontId="0" fillId="4" borderId="0" xfId="0" applyFill="1"/>
    <xf numFmtId="0" fontId="138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172" fontId="139" fillId="4" borderId="1" xfId="0" applyNumberFormat="1" applyFont="1" applyFill="1" applyBorder="1" applyAlignment="1">
      <alignment horizontal="center" vertical="center" wrapText="1" shrinkToFit="1"/>
    </xf>
    <xf numFmtId="0" fontId="141" fillId="4" borderId="0" xfId="0" applyFont="1" applyFill="1" applyAlignment="1">
      <alignment vertical="center"/>
    </xf>
    <xf numFmtId="171" fontId="139" fillId="4" borderId="1" xfId="4" applyNumberFormat="1" applyFont="1" applyFill="1" applyBorder="1" applyAlignment="1">
      <alignment horizontal="center" vertical="center" wrapText="1" shrinkToFit="1"/>
    </xf>
    <xf numFmtId="173" fontId="136" fillId="4" borderId="0" xfId="4" applyNumberFormat="1" applyFont="1" applyFill="1" applyBorder="1" applyAlignment="1">
      <alignment horizontal="center" vertical="center" wrapText="1" shrinkToFit="1"/>
    </xf>
    <xf numFmtId="2" fontId="135" fillId="3" borderId="0" xfId="0" applyNumberFormat="1" applyFont="1" applyFill="1" applyAlignment="1">
      <alignment horizontal="center" vertical="center"/>
    </xf>
    <xf numFmtId="2" fontId="139" fillId="3" borderId="0" xfId="0" applyNumberFormat="1" applyFont="1" applyFill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139" fillId="4" borderId="4" xfId="0" applyFon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139" fillId="4" borderId="8" xfId="0" applyFont="1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139" fillId="4" borderId="9" xfId="0" applyFont="1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139" fillId="4" borderId="1" xfId="0" applyFont="1" applyFill="1" applyBorder="1" applyAlignment="1">
      <alignment vertical="center"/>
    </xf>
    <xf numFmtId="0" fontId="139" fillId="2" borderId="0" xfId="0" applyFont="1" applyFill="1" applyAlignment="1">
      <alignment horizontal="left" vertical="center" indent="1"/>
    </xf>
    <xf numFmtId="0" fontId="141" fillId="2" borderId="0" xfId="0" applyFont="1" applyFill="1" applyAlignment="1">
      <alignment horizontal="left" vertical="center" indent="1"/>
    </xf>
    <xf numFmtId="164" fontId="0" fillId="2" borderId="0" xfId="3" applyFont="1" applyFill="1" applyAlignment="1">
      <alignment vertical="center"/>
    </xf>
    <xf numFmtId="0" fontId="139" fillId="2" borderId="0" xfId="0" applyFont="1" applyFill="1" applyAlignment="1">
      <alignment horizontal="left" vertical="center" indent="2"/>
    </xf>
    <xf numFmtId="167" fontId="139" fillId="2" borderId="0" xfId="0" applyNumberFormat="1" applyFont="1" applyFill="1" applyAlignment="1">
      <alignment horizontal="center" vertical="center"/>
    </xf>
    <xf numFmtId="0" fontId="139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36" fillId="2" borderId="0" xfId="0" applyFont="1" applyFill="1" applyAlignment="1">
      <alignment horizontal="left" vertical="center" indent="1"/>
    </xf>
    <xf numFmtId="2" fontId="139" fillId="3" borderId="0" xfId="0" applyNumberFormat="1" applyFont="1" applyFill="1" applyAlignment="1">
      <alignment vertical="center"/>
    </xf>
    <xf numFmtId="2" fontId="139" fillId="3" borderId="0" xfId="0" applyNumberFormat="1" applyFont="1" applyFill="1"/>
    <xf numFmtId="0" fontId="139" fillId="3" borderId="0" xfId="0" applyFont="1" applyFill="1" applyAlignment="1">
      <alignment horizontal="center"/>
    </xf>
    <xf numFmtId="3" fontId="139" fillId="2" borderId="0" xfId="0" applyNumberFormat="1" applyFont="1" applyFill="1" applyAlignment="1">
      <alignment horizontal="center"/>
    </xf>
    <xf numFmtId="3" fontId="0" fillId="3" borderId="0" xfId="0" applyNumberFormat="1" applyFill="1" applyAlignment="1">
      <alignment horizontal="center"/>
    </xf>
    <xf numFmtId="3" fontId="139" fillId="2" borderId="0" xfId="0" applyNumberFormat="1" applyFont="1" applyFill="1" applyAlignment="1">
      <alignment vertical="center"/>
    </xf>
    <xf numFmtId="180" fontId="139" fillId="2" borderId="1" xfId="0" applyNumberFormat="1" applyFont="1" applyFill="1" applyBorder="1" applyAlignment="1">
      <alignment horizontal="center" vertical="center"/>
    </xf>
    <xf numFmtId="3" fontId="139" fillId="2" borderId="0" xfId="0" applyNumberFormat="1" applyFont="1" applyFill="1" applyAlignment="1">
      <alignment horizontal="center" vertical="center"/>
    </xf>
    <xf numFmtId="168" fontId="0" fillId="2" borderId="1" xfId="0" applyNumberFormat="1" applyFill="1" applyBorder="1" applyAlignment="1">
      <alignment horizontal="center" vertical="center"/>
    </xf>
    <xf numFmtId="0" fontId="139" fillId="0" borderId="0" xfId="0" applyFont="1" applyAlignment="1">
      <alignment horizontal="left" vertical="center"/>
    </xf>
    <xf numFmtId="3" fontId="0" fillId="2" borderId="1" xfId="0" applyNumberFormat="1" applyFill="1" applyBorder="1" applyAlignment="1">
      <alignment horizontal="center" vertical="center"/>
    </xf>
    <xf numFmtId="167" fontId="139" fillId="4" borderId="1" xfId="0" applyNumberFormat="1" applyFont="1" applyFill="1" applyBorder="1" applyAlignment="1">
      <alignment horizontal="center" vertical="center"/>
    </xf>
    <xf numFmtId="181" fontId="0" fillId="2" borderId="1" xfId="3" applyNumberFormat="1" applyFont="1" applyFill="1" applyBorder="1" applyAlignment="1">
      <alignment horizontal="center" vertical="center"/>
    </xf>
    <xf numFmtId="181" fontId="0" fillId="2" borderId="0" xfId="3" applyNumberFormat="1" applyFont="1" applyFill="1" applyBorder="1" applyAlignment="1">
      <alignment horizontal="center" vertical="center"/>
    </xf>
    <xf numFmtId="178" fontId="139" fillId="3" borderId="0" xfId="3" applyNumberFormat="1" applyFont="1" applyFill="1" applyBorder="1" applyAlignment="1">
      <alignment horizontal="left" vertical="center" wrapText="1" shrinkToFit="1"/>
    </xf>
    <xf numFmtId="179" fontId="139" fillId="3" borderId="0" xfId="0" applyNumberFormat="1" applyFont="1" applyFill="1" applyAlignment="1">
      <alignment vertical="center"/>
    </xf>
    <xf numFmtId="178" fontId="139" fillId="3" borderId="0" xfId="3" applyNumberFormat="1" applyFont="1" applyFill="1" applyBorder="1" applyAlignment="1">
      <alignment vertical="center" wrapText="1" shrinkToFit="1"/>
    </xf>
    <xf numFmtId="178" fontId="133" fillId="3" borderId="0" xfId="3" applyNumberFormat="1" applyFont="1" applyFill="1" applyBorder="1" applyAlignment="1">
      <alignment vertical="center" wrapText="1" shrinkToFit="1"/>
    </xf>
    <xf numFmtId="0" fontId="0" fillId="5" borderId="0" xfId="0" applyFill="1"/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9" fontId="160" fillId="3" borderId="1" xfId="7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4" fontId="139" fillId="2" borderId="1" xfId="3" applyFont="1" applyFill="1" applyBorder="1" applyAlignment="1">
      <alignment vertical="center"/>
    </xf>
    <xf numFmtId="164" fontId="160" fillId="3" borderId="1" xfId="3" applyFont="1" applyFill="1" applyBorder="1" applyAlignment="1">
      <alignment horizontal="left"/>
    </xf>
    <xf numFmtId="164" fontId="160" fillId="3" borderId="1" xfId="3" applyFont="1" applyFill="1" applyBorder="1" applyAlignment="1">
      <alignment horizontal="center" vertical="center"/>
    </xf>
    <xf numFmtId="0" fontId="139" fillId="0" borderId="0" xfId="0" applyFont="1" applyAlignment="1">
      <alignment vertical="center"/>
    </xf>
    <xf numFmtId="167" fontId="139" fillId="3" borderId="0" xfId="0" applyNumberFormat="1" applyFont="1" applyFill="1" applyAlignment="1">
      <alignment horizontal="center" vertical="center"/>
    </xf>
    <xf numFmtId="167" fontId="139" fillId="3" borderId="0" xfId="0" applyNumberFormat="1" applyFont="1" applyFill="1" applyAlignment="1">
      <alignment horizontal="left" vertical="center"/>
    </xf>
    <xf numFmtId="164" fontId="160" fillId="0" borderId="1" xfId="3" applyFont="1" applyFill="1" applyBorder="1" applyAlignment="1">
      <alignment horizontal="center" vertical="center"/>
    </xf>
    <xf numFmtId="0" fontId="132" fillId="0" borderId="0" xfId="0" applyFont="1"/>
    <xf numFmtId="0" fontId="139" fillId="4" borderId="0" xfId="0" applyFont="1" applyFill="1" applyAlignment="1">
      <alignment horizontal="left" vertical="center" indent="1"/>
    </xf>
    <xf numFmtId="181" fontId="0" fillId="4" borderId="0" xfId="3" applyNumberFormat="1" applyFont="1" applyFill="1" applyBorder="1" applyAlignment="1">
      <alignment horizontal="center" vertical="center"/>
    </xf>
    <xf numFmtId="0" fontId="132" fillId="4" borderId="0" xfId="0" applyFont="1" applyFill="1" applyAlignment="1">
      <alignment horizontal="left" vertical="center" indent="1"/>
    </xf>
    <xf numFmtId="0" fontId="132" fillId="5" borderId="0" xfId="0" applyFont="1" applyFill="1" applyAlignment="1">
      <alignment vertical="center"/>
    </xf>
    <xf numFmtId="0" fontId="133" fillId="0" borderId="0" xfId="0" applyFont="1" applyAlignment="1">
      <alignment vertical="center"/>
    </xf>
    <xf numFmtId="0" fontId="132" fillId="0" borderId="1" xfId="0" applyFont="1" applyBorder="1" applyAlignment="1">
      <alignment horizontal="center" vertical="center"/>
    </xf>
    <xf numFmtId="0" fontId="132" fillId="3" borderId="0" xfId="0" applyFont="1" applyFill="1" applyAlignment="1">
      <alignment vertical="center"/>
    </xf>
    <xf numFmtId="0" fontId="0" fillId="0" borderId="1" xfId="0" applyBorder="1"/>
    <xf numFmtId="0" fontId="153" fillId="0" borderId="0" xfId="0" applyFont="1" applyAlignment="1">
      <alignment vertical="center"/>
    </xf>
    <xf numFmtId="0" fontId="132" fillId="3" borderId="0" xfId="0" applyFont="1" applyFill="1" applyAlignment="1">
      <alignment horizontal="left" vertical="center"/>
    </xf>
    <xf numFmtId="0" fontId="132" fillId="4" borderId="0" xfId="0" applyFont="1" applyFill="1" applyAlignment="1">
      <alignment horizontal="center" vertical="center"/>
    </xf>
    <xf numFmtId="0" fontId="132" fillId="4" borderId="0" xfId="0" applyFont="1" applyFill="1" applyAlignment="1">
      <alignment vertical="center"/>
    </xf>
    <xf numFmtId="0" fontId="132" fillId="4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71" fontId="132" fillId="4" borderId="1" xfId="4" applyNumberFormat="1" applyFont="1" applyFill="1" applyBorder="1" applyAlignment="1">
      <alignment horizontal="center" vertical="center" wrapText="1" shrinkToFit="1"/>
    </xf>
    <xf numFmtId="43" fontId="0" fillId="0" borderId="0" xfId="0" applyNumberFormat="1"/>
    <xf numFmtId="0" fontId="132" fillId="2" borderId="1" xfId="0" applyFont="1" applyFill="1" applyBorder="1" applyAlignment="1">
      <alignment horizontal="center" vertical="center"/>
    </xf>
    <xf numFmtId="164" fontId="132" fillId="4" borderId="1" xfId="3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64" fontId="160" fillId="3" borderId="1" xfId="3" applyFont="1" applyFill="1" applyBorder="1" applyAlignment="1">
      <alignment horizontal="center"/>
    </xf>
    <xf numFmtId="164" fontId="160" fillId="0" borderId="0" xfId="3" applyFont="1" applyFill="1" applyBorder="1" applyAlignment="1">
      <alignment vertical="center"/>
    </xf>
    <xf numFmtId="10" fontId="0" fillId="0" borderId="0" xfId="7" applyNumberFormat="1" applyFont="1"/>
    <xf numFmtId="10" fontId="0" fillId="0" borderId="1" xfId="7" applyNumberFormat="1" applyFont="1" applyBorder="1"/>
    <xf numFmtId="168" fontId="0" fillId="2" borderId="0" xfId="0" applyNumberFormat="1" applyFill="1" applyAlignment="1">
      <alignment horizontal="center" vertical="center"/>
    </xf>
    <xf numFmtId="0" fontId="132" fillId="2" borderId="0" xfId="0" applyFont="1" applyFill="1" applyAlignment="1">
      <alignment horizontal="center" vertical="center"/>
    </xf>
    <xf numFmtId="0" fontId="133" fillId="0" borderId="13" xfId="0" applyFont="1" applyBorder="1"/>
    <xf numFmtId="167" fontId="133" fillId="0" borderId="14" xfId="0" applyNumberFormat="1" applyFont="1" applyBorder="1"/>
    <xf numFmtId="0" fontId="133" fillId="0" borderId="15" xfId="0" applyFont="1" applyBorder="1"/>
    <xf numFmtId="167" fontId="140" fillId="0" borderId="14" xfId="0" applyNumberFormat="1" applyFont="1" applyBorder="1"/>
    <xf numFmtId="0" fontId="99" fillId="0" borderId="0" xfId="41"/>
    <xf numFmtId="0" fontId="98" fillId="0" borderId="0" xfId="42"/>
    <xf numFmtId="0" fontId="142" fillId="2" borderId="0" xfId="0" applyFont="1" applyFill="1" applyAlignment="1">
      <alignment horizontal="left" vertical="center" indent="1"/>
    </xf>
    <xf numFmtId="0" fontId="132" fillId="3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139" fillId="0" borderId="1" xfId="0" applyNumberFormat="1" applyFont="1" applyBorder="1" applyAlignment="1">
      <alignment horizontal="center" vertical="center"/>
    </xf>
    <xf numFmtId="0" fontId="163" fillId="11" borderId="1" xfId="0" applyFont="1" applyFill="1" applyBorder="1"/>
    <xf numFmtId="0" fontId="0" fillId="11" borderId="1" xfId="0" applyFill="1" applyBorder="1"/>
    <xf numFmtId="0" fontId="16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33" fillId="4" borderId="1" xfId="0" applyFont="1" applyFill="1" applyBorder="1" applyAlignment="1">
      <alignment vertical="center"/>
    </xf>
    <xf numFmtId="168" fontId="0" fillId="3" borderId="1" xfId="0" applyNumberFormat="1" applyFill="1" applyBorder="1" applyAlignment="1">
      <alignment horizontal="center" vertical="center"/>
    </xf>
    <xf numFmtId="169" fontId="139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169" fontId="139" fillId="0" borderId="1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2" xfId="0" applyBorder="1"/>
    <xf numFmtId="0" fontId="139" fillId="2" borderId="0" xfId="0" applyFont="1" applyFill="1" applyAlignment="1">
      <alignment horizontal="left" vertical="center" wrapText="1"/>
    </xf>
    <xf numFmtId="0" fontId="132" fillId="0" borderId="16" xfId="0" applyFont="1" applyBorder="1"/>
    <xf numFmtId="0" fontId="0" fillId="0" borderId="17" xfId="0" applyBorder="1"/>
    <xf numFmtId="0" fontId="132" fillId="0" borderId="18" xfId="0" applyFont="1" applyBorder="1"/>
    <xf numFmtId="171" fontId="132" fillId="4" borderId="1" xfId="0" applyNumberFormat="1" applyFont="1" applyFill="1" applyBorder="1" applyAlignment="1">
      <alignment horizontal="center" vertical="center" wrapText="1" shrinkToFit="1"/>
    </xf>
    <xf numFmtId="0" fontId="0" fillId="0" borderId="20" xfId="0" applyBorder="1"/>
    <xf numFmtId="0" fontId="133" fillId="0" borderId="19" xfId="0" applyFont="1" applyBorder="1"/>
    <xf numFmtId="0" fontId="132" fillId="0" borderId="19" xfId="0" applyFont="1" applyBorder="1"/>
    <xf numFmtId="0" fontId="0" fillId="0" borderId="23" xfId="0" applyBorder="1"/>
    <xf numFmtId="0" fontId="0" fillId="12" borderId="0" xfId="0" applyFill="1"/>
    <xf numFmtId="0" fontId="163" fillId="7" borderId="1" xfId="0" applyFont="1" applyFill="1" applyBorder="1"/>
    <xf numFmtId="11" fontId="0" fillId="2" borderId="0" xfId="0" applyNumberFormat="1" applyFill="1" applyAlignment="1">
      <alignment vertical="center"/>
    </xf>
    <xf numFmtId="1" fontId="0" fillId="2" borderId="0" xfId="0" applyNumberFormat="1" applyFill="1" applyAlignment="1">
      <alignment vertical="center"/>
    </xf>
    <xf numFmtId="0" fontId="132" fillId="2" borderId="0" xfId="0" applyFont="1" applyFill="1" applyAlignment="1">
      <alignment horizontal="right" vertical="center"/>
    </xf>
    <xf numFmtId="0" fontId="35" fillId="0" borderId="0" xfId="105"/>
    <xf numFmtId="43" fontId="0" fillId="3" borderId="0" xfId="0" applyNumberFormat="1" applyFill="1" applyAlignment="1">
      <alignment horizontal="left"/>
    </xf>
    <xf numFmtId="0" fontId="0" fillId="0" borderId="0" xfId="0" applyAlignment="1">
      <alignment vertical="center" wrapText="1"/>
    </xf>
    <xf numFmtId="0" fontId="132" fillId="2" borderId="0" xfId="0" applyFont="1" applyFill="1" applyAlignment="1">
      <alignment horizontal="left" vertical="center" wrapText="1"/>
    </xf>
    <xf numFmtId="4" fontId="139" fillId="4" borderId="1" xfId="0" applyNumberFormat="1" applyFont="1" applyFill="1" applyBorder="1" applyAlignment="1">
      <alignment horizontal="center"/>
    </xf>
    <xf numFmtId="2" fontId="132" fillId="4" borderId="1" xfId="0" applyNumberFormat="1" applyFont="1" applyFill="1" applyBorder="1" applyAlignment="1">
      <alignment horizontal="center" vertical="center"/>
    </xf>
    <xf numFmtId="0" fontId="132" fillId="0" borderId="0" xfId="0" applyFont="1" applyAlignment="1">
      <alignment vertical="center" wrapText="1"/>
    </xf>
    <xf numFmtId="182" fontId="0" fillId="0" borderId="1" xfId="7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7" applyNumberFormat="1" applyFont="1" applyBorder="1" applyAlignment="1">
      <alignment horizontal="center"/>
    </xf>
    <xf numFmtId="182" fontId="0" fillId="0" borderId="0" xfId="0" applyNumberFormat="1" applyAlignment="1">
      <alignment horizontal="center"/>
    </xf>
    <xf numFmtId="0" fontId="132" fillId="2" borderId="0" xfId="0" applyFont="1" applyFill="1" applyAlignment="1">
      <alignment horizontal="left" vertical="center"/>
    </xf>
    <xf numFmtId="11" fontId="0" fillId="0" borderId="0" xfId="0" applyNumberFormat="1" applyAlignment="1">
      <alignment vertical="center" wrapText="1"/>
    </xf>
    <xf numFmtId="0" fontId="132" fillId="0" borderId="0" xfId="0" applyFont="1" applyAlignment="1">
      <alignment vertical="center"/>
    </xf>
    <xf numFmtId="0" fontId="0" fillId="4" borderId="0" xfId="0" applyFill="1" applyAlignment="1">
      <alignment horizontal="center" vertical="center"/>
    </xf>
    <xf numFmtId="43" fontId="0" fillId="2" borderId="0" xfId="0" applyNumberFormat="1" applyFill="1" applyAlignment="1">
      <alignment vertical="center"/>
    </xf>
    <xf numFmtId="183" fontId="0" fillId="2" borderId="0" xfId="0" applyNumberFormat="1" applyFill="1" applyAlignment="1">
      <alignment vertical="center"/>
    </xf>
    <xf numFmtId="49" fontId="0" fillId="0" borderId="0" xfId="0" applyNumberFormat="1"/>
    <xf numFmtId="2" fontId="132" fillId="2" borderId="1" xfId="0" applyNumberFormat="1" applyFont="1" applyFill="1" applyBorder="1" applyAlignment="1">
      <alignment horizontal="center" vertical="center"/>
    </xf>
    <xf numFmtId="0" fontId="132" fillId="3" borderId="0" xfId="0" applyFont="1" applyFill="1" applyAlignment="1">
      <alignment horizontal="left"/>
    </xf>
    <xf numFmtId="0" fontId="166" fillId="5" borderId="0" xfId="0" applyFont="1" applyFill="1" applyAlignment="1">
      <alignment vertical="center"/>
    </xf>
    <xf numFmtId="0" fontId="166" fillId="2" borderId="0" xfId="0" applyFont="1" applyFill="1" applyAlignment="1">
      <alignment vertical="center"/>
    </xf>
    <xf numFmtId="0" fontId="167" fillId="14" borderId="1" xfId="0" applyFont="1" applyFill="1" applyBorder="1" applyAlignment="1">
      <alignment horizontal="center"/>
    </xf>
    <xf numFmtId="0" fontId="132" fillId="4" borderId="1" xfId="0" applyFont="1" applyFill="1" applyBorder="1" applyAlignment="1">
      <alignment horizontal="center"/>
    </xf>
    <xf numFmtId="0" fontId="168" fillId="15" borderId="1" xfId="0" applyFont="1" applyFill="1" applyBorder="1" applyAlignment="1">
      <alignment horizontal="center"/>
    </xf>
    <xf numFmtId="0" fontId="169" fillId="14" borderId="12" xfId="0" applyFont="1" applyFill="1" applyBorder="1" applyAlignment="1">
      <alignment horizontal="center"/>
    </xf>
    <xf numFmtId="0" fontId="132" fillId="4" borderId="24" xfId="0" applyFont="1" applyFill="1" applyBorder="1" applyAlignment="1">
      <alignment horizontal="center"/>
    </xf>
    <xf numFmtId="0" fontId="171" fillId="14" borderId="1" xfId="0" applyFont="1" applyFill="1" applyBorder="1" applyAlignment="1">
      <alignment horizontal="center" vertical="center"/>
    </xf>
    <xf numFmtId="4" fontId="132" fillId="13" borderId="1" xfId="0" applyNumberFormat="1" applyFont="1" applyFill="1" applyBorder="1" applyAlignment="1">
      <alignment horizontal="center"/>
    </xf>
    <xf numFmtId="2" fontId="132" fillId="4" borderId="24" xfId="0" applyNumberFormat="1" applyFont="1" applyFill="1" applyBorder="1" applyAlignment="1">
      <alignment horizontal="center"/>
    </xf>
    <xf numFmtId="0" fontId="169" fillId="14" borderId="25" xfId="0" applyFont="1" applyFill="1" applyBorder="1" applyAlignment="1">
      <alignment horizontal="center"/>
    </xf>
    <xf numFmtId="0" fontId="132" fillId="4" borderId="26" xfId="0" applyFont="1" applyFill="1" applyBorder="1" applyAlignment="1">
      <alignment horizontal="center"/>
    </xf>
    <xf numFmtId="0" fontId="132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12" borderId="1" xfId="0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49" fontId="16" fillId="0" borderId="0" xfId="124" applyNumberFormat="1" applyAlignment="1">
      <alignment horizontal="center" vertical="center"/>
    </xf>
    <xf numFmtId="184" fontId="16" fillId="5" borderId="0" xfId="124" applyNumberFormat="1" applyFill="1" applyAlignment="1">
      <alignment horizontal="center" vertical="center"/>
    </xf>
    <xf numFmtId="184" fontId="16" fillId="0" borderId="0" xfId="124" applyNumberFormat="1" applyAlignment="1">
      <alignment horizontal="center" vertical="center"/>
    </xf>
    <xf numFmtId="49" fontId="9" fillId="0" borderId="0" xfId="131" applyNumberFormat="1" applyAlignment="1">
      <alignment horizontal="center" vertical="center"/>
    </xf>
    <xf numFmtId="11" fontId="0" fillId="0" borderId="0" xfId="0" applyNumberFormat="1"/>
    <xf numFmtId="0" fontId="133" fillId="0" borderId="1" xfId="0" applyFont="1" applyBorder="1" applyAlignment="1">
      <alignment horizontal="center" vertical="center"/>
    </xf>
    <xf numFmtId="0" fontId="177" fillId="0" borderId="1" xfId="0" applyFont="1" applyBorder="1" applyAlignment="1">
      <alignment horizontal="center" vertical="center"/>
    </xf>
    <xf numFmtId="177" fontId="132" fillId="0" borderId="1" xfId="0" applyNumberFormat="1" applyFont="1" applyBorder="1" applyAlignment="1">
      <alignment horizontal="center" vertical="center"/>
    </xf>
    <xf numFmtId="9" fontId="132" fillId="0" borderId="1" xfId="7" applyFont="1" applyFill="1" applyBorder="1" applyAlignment="1">
      <alignment horizontal="center" vertical="center"/>
    </xf>
    <xf numFmtId="11" fontId="132" fillId="0" borderId="0" xfId="0" applyNumberFormat="1" applyFont="1" applyAlignment="1">
      <alignment vertical="center" wrapText="1"/>
    </xf>
    <xf numFmtId="169" fontId="16" fillId="0" borderId="0" xfId="124" applyNumberFormat="1" applyAlignment="1">
      <alignment horizontal="center" vertical="center"/>
    </xf>
    <xf numFmtId="169" fontId="9" fillId="0" borderId="0" xfId="131" applyNumberFormat="1" applyAlignment="1">
      <alignment horizontal="center" vertical="center"/>
    </xf>
    <xf numFmtId="184" fontId="9" fillId="0" borderId="0" xfId="131" applyNumberFormat="1" applyAlignment="1">
      <alignment horizontal="center" vertical="center"/>
    </xf>
    <xf numFmtId="1" fontId="16" fillId="0" borderId="0" xfId="124" applyNumberFormat="1" applyAlignment="1">
      <alignment horizontal="center" vertical="center"/>
    </xf>
    <xf numFmtId="1" fontId="9" fillId="0" borderId="0" xfId="131" applyNumberFormat="1" applyAlignment="1">
      <alignment horizontal="center" vertical="center"/>
    </xf>
    <xf numFmtId="0" fontId="4" fillId="0" borderId="0" xfId="136"/>
    <xf numFmtId="49" fontId="4" fillId="0" borderId="0" xfId="136" applyNumberFormat="1"/>
    <xf numFmtId="0" fontId="179" fillId="0" borderId="0" xfId="0" applyFont="1"/>
    <xf numFmtId="2" fontId="179" fillId="2" borderId="0" xfId="0" applyNumberFormat="1" applyFont="1" applyFill="1" applyAlignment="1">
      <alignment horizontal="right" vertical="center"/>
    </xf>
    <xf numFmtId="0" fontId="139" fillId="4" borderId="1" xfId="0" applyFont="1" applyFill="1" applyBorder="1" applyAlignment="1">
      <alignment horizontal="center" vertical="center"/>
    </xf>
    <xf numFmtId="4" fontId="139" fillId="0" borderId="1" xfId="0" applyNumberFormat="1" applyFont="1" applyBorder="1" applyAlignment="1">
      <alignment horizontal="center"/>
    </xf>
    <xf numFmtId="164" fontId="160" fillId="3" borderId="0" xfId="3" applyFont="1" applyFill="1" applyBorder="1" applyAlignment="1">
      <alignment horizontal="center" vertical="center"/>
    </xf>
    <xf numFmtId="10" fontId="0" fillId="0" borderId="0" xfId="7" applyNumberFormat="1" applyFont="1" applyBorder="1"/>
    <xf numFmtId="182" fontId="0" fillId="0" borderId="0" xfId="7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85" fontId="0" fillId="0" borderId="1" xfId="7" applyNumberFormat="1" applyFont="1" applyBorder="1" applyAlignment="1">
      <alignment horizontal="center"/>
    </xf>
    <xf numFmtId="0" fontId="163" fillId="7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32" fillId="3" borderId="0" xfId="0" applyNumberFormat="1" applyFont="1" applyFill="1" applyAlignment="1">
      <alignment horizontal="right" vertical="center"/>
    </xf>
    <xf numFmtId="2" fontId="132" fillId="3" borderId="0" xfId="0" applyNumberFormat="1" applyFont="1" applyFill="1" applyAlignment="1">
      <alignment horizontal="center" vertical="center"/>
    </xf>
    <xf numFmtId="2" fontId="139" fillId="3" borderId="0" xfId="0" applyNumberFormat="1" applyFont="1" applyFill="1" applyAlignment="1">
      <alignment horizontal="center"/>
    </xf>
    <xf numFmtId="174" fontId="139" fillId="3" borderId="0" xfId="0" applyNumberFormat="1" applyFont="1" applyFill="1" applyAlignment="1">
      <alignment horizontal="center" vertical="center" wrapText="1" shrinkToFit="1"/>
    </xf>
    <xf numFmtId="0" fontId="0" fillId="3" borderId="0" xfId="0" applyFill="1" applyAlignment="1">
      <alignment horizontal="center"/>
    </xf>
    <xf numFmtId="169" fontId="0" fillId="3" borderId="0" xfId="0" applyNumberFormat="1" applyFill="1" applyAlignment="1">
      <alignment horizontal="center"/>
    </xf>
    <xf numFmtId="0" fontId="133" fillId="3" borderId="1" xfId="0" applyFont="1" applyFill="1" applyBorder="1" applyAlignment="1">
      <alignment horizontal="center" vertical="center"/>
    </xf>
    <xf numFmtId="0" fontId="133" fillId="2" borderId="1" xfId="0" applyFont="1" applyFill="1" applyBorder="1" applyAlignment="1">
      <alignment horizontal="center" vertical="center"/>
    </xf>
    <xf numFmtId="2" fontId="0" fillId="12" borderId="0" xfId="0" applyNumberFormat="1" applyFill="1"/>
    <xf numFmtId="173" fontId="132" fillId="4" borderId="1" xfId="0" applyNumberFormat="1" applyFont="1" applyFill="1" applyBorder="1" applyAlignment="1">
      <alignment horizontal="center" vertical="center" wrapText="1" shrinkToFit="1"/>
    </xf>
    <xf numFmtId="186" fontId="137" fillId="2" borderId="0" xfId="0" applyNumberFormat="1" applyFont="1" applyFill="1" applyAlignment="1">
      <alignment horizontal="center" vertical="center"/>
    </xf>
    <xf numFmtId="175" fontId="0" fillId="12" borderId="1" xfId="0" applyNumberFormat="1" applyFill="1" applyBorder="1" applyAlignment="1">
      <alignment horizontal="center"/>
    </xf>
    <xf numFmtId="0" fontId="133" fillId="0" borderId="13" xfId="0" applyFont="1" applyBorder="1" applyAlignment="1">
      <alignment horizontal="center" vertical="center"/>
    </xf>
    <xf numFmtId="171" fontId="132" fillId="4" borderId="28" xfId="4" applyNumberFormat="1" applyFont="1" applyFill="1" applyBorder="1" applyAlignment="1">
      <alignment horizontal="center" vertical="center" wrapText="1" shrinkToFit="1"/>
    </xf>
    <xf numFmtId="171" fontId="132" fillId="4" borderId="29" xfId="4" applyNumberFormat="1" applyFont="1" applyFill="1" applyBorder="1" applyAlignment="1">
      <alignment horizontal="center" vertical="center" wrapText="1" shrinkToFit="1"/>
    </xf>
    <xf numFmtId="187" fontId="133" fillId="4" borderId="30" xfId="4" applyNumberFormat="1" applyFont="1" applyFill="1" applyBorder="1" applyAlignment="1">
      <alignment horizontal="center" vertical="center" wrapText="1" shrinkToFit="1"/>
    </xf>
    <xf numFmtId="171" fontId="132" fillId="4" borderId="30" xfId="4" applyNumberFormat="1" applyFont="1" applyFill="1" applyBorder="1" applyAlignment="1">
      <alignment horizontal="center" vertical="center" wrapText="1" shrinkToFit="1"/>
    </xf>
    <xf numFmtId="0" fontId="132" fillId="0" borderId="28" xfId="0" applyFont="1" applyBorder="1"/>
    <xf numFmtId="0" fontId="132" fillId="0" borderId="29" xfId="0" applyFont="1" applyBorder="1"/>
    <xf numFmtId="0" fontId="132" fillId="0" borderId="30" xfId="0" applyFont="1" applyBorder="1"/>
    <xf numFmtId="0" fontId="133" fillId="0" borderId="31" xfId="0" applyFont="1" applyBorder="1" applyAlignment="1">
      <alignment horizontal="center" vertical="center"/>
    </xf>
    <xf numFmtId="0" fontId="133" fillId="0" borderId="32" xfId="0" applyFont="1" applyBorder="1" applyAlignment="1">
      <alignment horizontal="center" vertical="center"/>
    </xf>
    <xf numFmtId="0" fontId="133" fillId="0" borderId="13" xfId="0" applyFont="1" applyBorder="1" applyAlignment="1">
      <alignment horizontal="center" vertical="center" wrapText="1"/>
    </xf>
    <xf numFmtId="0" fontId="132" fillId="0" borderId="31" xfId="0" applyFont="1" applyBorder="1"/>
    <xf numFmtId="171" fontId="132" fillId="4" borderId="31" xfId="4" applyNumberFormat="1" applyFont="1" applyFill="1" applyBorder="1" applyAlignment="1">
      <alignment horizontal="center" vertical="center" wrapText="1" shrinkToFit="1"/>
    </xf>
    <xf numFmtId="171" fontId="133" fillId="0" borderId="32" xfId="0" applyNumberFormat="1" applyFont="1" applyBorder="1" applyAlignment="1">
      <alignment horizontal="center" vertical="center"/>
    </xf>
    <xf numFmtId="186" fontId="139" fillId="3" borderId="0" xfId="0" applyNumberFormat="1" applyFont="1" applyFill="1" applyAlignment="1">
      <alignment horizontal="center" vertical="center"/>
    </xf>
    <xf numFmtId="49" fontId="3" fillId="0" borderId="0" xfId="124" applyNumberFormat="1" applyFont="1" applyAlignment="1">
      <alignment horizontal="center" vertical="center"/>
    </xf>
    <xf numFmtId="175" fontId="0" fillId="2" borderId="0" xfId="0" applyNumberFormat="1" applyFill="1" applyAlignment="1">
      <alignment horizontal="center" vertical="center"/>
    </xf>
    <xf numFmtId="0" fontId="132" fillId="4" borderId="1" xfId="0" applyFont="1" applyFill="1" applyBorder="1" applyAlignment="1">
      <alignment horizontal="center" vertical="center"/>
    </xf>
    <xf numFmtId="0" fontId="13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1" fontId="5" fillId="0" borderId="27" xfId="135" applyNumberFormat="1" applyBorder="1" applyAlignment="1">
      <alignment horizontal="center"/>
    </xf>
    <xf numFmtId="0" fontId="2" fillId="0" borderId="0" xfId="138"/>
    <xf numFmtId="185" fontId="0" fillId="0" borderId="0" xfId="7" applyNumberFormat="1" applyFont="1" applyBorder="1" applyAlignment="1">
      <alignment horizontal="center"/>
    </xf>
    <xf numFmtId="0" fontId="2" fillId="3" borderId="0" xfId="138" applyFill="1"/>
    <xf numFmtId="0" fontId="2" fillId="3" borderId="23" xfId="138" applyFill="1" applyBorder="1" applyAlignment="1">
      <alignment horizontal="center" vertical="center"/>
    </xf>
    <xf numFmtId="0" fontId="2" fillId="3" borderId="22" xfId="138" applyFill="1" applyBorder="1" applyAlignment="1">
      <alignment horizontal="center" vertical="center"/>
    </xf>
    <xf numFmtId="0" fontId="2" fillId="3" borderId="21" xfId="138" applyFill="1" applyBorder="1" applyAlignment="1">
      <alignment horizontal="center" vertical="center"/>
    </xf>
    <xf numFmtId="0" fontId="2" fillId="3" borderId="20" xfId="138" applyFill="1" applyBorder="1" applyAlignment="1">
      <alignment horizontal="center" vertical="center"/>
    </xf>
    <xf numFmtId="0" fontId="2" fillId="3" borderId="0" xfId="138" applyFill="1" applyAlignment="1">
      <alignment horizontal="center" vertical="center"/>
    </xf>
    <xf numFmtId="0" fontId="2" fillId="3" borderId="19" xfId="138" applyFill="1" applyBorder="1" applyAlignment="1">
      <alignment horizontal="center" vertical="center"/>
    </xf>
    <xf numFmtId="0" fontId="2" fillId="3" borderId="0" xfId="138" applyFill="1" applyAlignment="1">
      <alignment horizontal="center"/>
    </xf>
    <xf numFmtId="2" fontId="2" fillId="3" borderId="0" xfId="138" applyNumberFormat="1" applyFill="1"/>
    <xf numFmtId="0" fontId="163" fillId="3" borderId="18" xfId="138" applyFont="1" applyFill="1" applyBorder="1" applyAlignment="1">
      <alignment horizontal="center" vertical="center"/>
    </xf>
    <xf numFmtId="0" fontId="163" fillId="3" borderId="16" xfId="138" applyFont="1" applyFill="1" applyBorder="1" applyAlignment="1">
      <alignment horizontal="center" vertical="center"/>
    </xf>
    <xf numFmtId="0" fontId="163" fillId="3" borderId="15" xfId="138" applyFont="1" applyFill="1" applyBorder="1" applyAlignment="1">
      <alignment horizontal="center" vertical="center"/>
    </xf>
    <xf numFmtId="0" fontId="163" fillId="3" borderId="14" xfId="138" applyFont="1" applyFill="1" applyBorder="1" applyAlignment="1">
      <alignment horizontal="center" vertical="center"/>
    </xf>
    <xf numFmtId="0" fontId="163" fillId="3" borderId="13" xfId="138" applyFont="1" applyFill="1" applyBorder="1" applyAlignment="1">
      <alignment horizontal="center" vertical="center"/>
    </xf>
    <xf numFmtId="0" fontId="2" fillId="3" borderId="23" xfId="138" applyFill="1" applyBorder="1"/>
    <xf numFmtId="0" fontId="2" fillId="3" borderId="22" xfId="138" applyFill="1" applyBorder="1"/>
    <xf numFmtId="0" fontId="184" fillId="3" borderId="21" xfId="138" applyFont="1" applyFill="1" applyBorder="1"/>
    <xf numFmtId="0" fontId="2" fillId="3" borderId="20" xfId="138" applyFill="1" applyBorder="1"/>
    <xf numFmtId="0" fontId="184" fillId="3" borderId="19" xfId="138" applyFont="1" applyFill="1" applyBorder="1"/>
    <xf numFmtId="0" fontId="0" fillId="3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163" fillId="3" borderId="17" xfId="138" applyFont="1" applyFill="1" applyBorder="1" applyAlignment="1">
      <alignment horizontal="center" vertical="center"/>
    </xf>
    <xf numFmtId="0" fontId="2" fillId="3" borderId="4" xfId="138" applyFill="1" applyBorder="1"/>
    <xf numFmtId="0" fontId="2" fillId="3" borderId="7" xfId="138" applyFill="1" applyBorder="1"/>
    <xf numFmtId="0" fontId="2" fillId="3" borderId="38" xfId="138" applyFill="1" applyBorder="1"/>
    <xf numFmtId="0" fontId="184" fillId="3" borderId="39" xfId="138" applyFont="1" applyFill="1" applyBorder="1"/>
    <xf numFmtId="0" fontId="2" fillId="3" borderId="40" xfId="138" applyFill="1" applyBorder="1"/>
    <xf numFmtId="178" fontId="132" fillId="3" borderId="0" xfId="3" applyNumberFormat="1" applyFont="1" applyFill="1" applyBorder="1" applyAlignment="1">
      <alignment horizontal="right" vertical="center" wrapText="1" shrinkToFit="1"/>
    </xf>
    <xf numFmtId="0" fontId="2" fillId="3" borderId="1" xfId="138" applyFill="1" applyBorder="1"/>
    <xf numFmtId="167" fontId="2" fillId="3" borderId="41" xfId="138" applyNumberFormat="1" applyFill="1" applyBorder="1" applyAlignment="1">
      <alignment horizontal="center"/>
    </xf>
    <xf numFmtId="167" fontId="2" fillId="3" borderId="29" xfId="138" applyNumberFormat="1" applyFill="1" applyBorder="1" applyAlignment="1">
      <alignment horizontal="center"/>
    </xf>
    <xf numFmtId="0" fontId="2" fillId="3" borderId="29" xfId="138" applyFill="1" applyBorder="1"/>
    <xf numFmtId="0" fontId="2" fillId="3" borderId="42" xfId="138" applyFill="1" applyBorder="1"/>
    <xf numFmtId="0" fontId="185" fillId="0" borderId="0" xfId="0" applyFont="1" applyAlignment="1">
      <alignment horizontal="center"/>
    </xf>
    <xf numFmtId="165" fontId="139" fillId="2" borderId="1" xfId="3" applyNumberFormat="1" applyFont="1" applyFill="1" applyBorder="1" applyAlignment="1">
      <alignment vertical="center"/>
    </xf>
    <xf numFmtId="165" fontId="160" fillId="3" borderId="1" xfId="3" applyNumberFormat="1" applyFont="1" applyFill="1" applyBorder="1" applyAlignment="1">
      <alignment horizontal="center"/>
    </xf>
    <xf numFmtId="4" fontId="0" fillId="0" borderId="0" xfId="0" applyNumberFormat="1"/>
    <xf numFmtId="4" fontId="99" fillId="0" borderId="0" xfId="41" applyNumberFormat="1"/>
    <xf numFmtId="0" fontId="163" fillId="3" borderId="43" xfId="138" applyFont="1" applyFill="1" applyBorder="1" applyAlignment="1">
      <alignment horizontal="center"/>
    </xf>
    <xf numFmtId="0" fontId="2" fillId="3" borderId="28" xfId="138" applyFill="1" applyBorder="1" applyAlignment="1">
      <alignment horizontal="center"/>
    </xf>
    <xf numFmtId="0" fontId="186" fillId="0" borderId="44" xfId="0" applyFont="1" applyBorder="1" applyAlignment="1">
      <alignment horizontal="center"/>
    </xf>
    <xf numFmtId="0" fontId="2" fillId="3" borderId="45" xfId="138" applyFill="1" applyBorder="1"/>
    <xf numFmtId="167" fontId="2" fillId="3" borderId="46" xfId="138" applyNumberFormat="1" applyFill="1" applyBorder="1" applyAlignment="1">
      <alignment horizontal="center"/>
    </xf>
    <xf numFmtId="0" fontId="2" fillId="3" borderId="47" xfId="138" applyFill="1" applyBorder="1"/>
    <xf numFmtId="167" fontId="2" fillId="3" borderId="34" xfId="138" applyNumberFormat="1" applyFill="1" applyBorder="1" applyAlignment="1">
      <alignment horizontal="center"/>
    </xf>
    <xf numFmtId="0" fontId="2" fillId="3" borderId="48" xfId="138" applyFill="1" applyBorder="1"/>
    <xf numFmtId="167" fontId="2" fillId="3" borderId="30" xfId="138" applyNumberFormat="1" applyFill="1" applyBorder="1" applyAlignment="1">
      <alignment horizontal="center"/>
    </xf>
    <xf numFmtId="167" fontId="2" fillId="3" borderId="35" xfId="138" applyNumberFormat="1" applyFill="1" applyBorder="1" applyAlignment="1">
      <alignment horizontal="center"/>
    </xf>
    <xf numFmtId="189" fontId="139" fillId="4" borderId="1" xfId="0" applyNumberFormat="1" applyFont="1" applyFill="1" applyBorder="1" applyAlignment="1">
      <alignment horizontal="center" vertical="center" wrapText="1" shrinkToFit="1"/>
    </xf>
    <xf numFmtId="170" fontId="132" fillId="4" borderId="1" xfId="0" applyNumberFormat="1" applyFont="1" applyFill="1" applyBorder="1" applyAlignment="1">
      <alignment horizontal="center" vertical="center" wrapText="1" shrinkToFit="1"/>
    </xf>
    <xf numFmtId="170" fontId="132" fillId="4" borderId="0" xfId="0" applyNumberFormat="1" applyFont="1" applyFill="1" applyAlignment="1">
      <alignment horizontal="center" vertical="center" wrapText="1" shrinkToFit="1"/>
    </xf>
    <xf numFmtId="0" fontId="163" fillId="3" borderId="0" xfId="138" applyFont="1" applyFill="1"/>
    <xf numFmtId="0" fontId="2" fillId="3" borderId="49" xfId="138" applyFill="1" applyBorder="1" applyAlignment="1">
      <alignment horizontal="center" vertical="center"/>
    </xf>
    <xf numFmtId="0" fontId="2" fillId="3" borderId="50" xfId="138" applyFill="1" applyBorder="1"/>
    <xf numFmtId="190" fontId="2" fillId="3" borderId="33" xfId="138" applyNumberFormat="1" applyFill="1" applyBorder="1" applyAlignment="1">
      <alignment horizontal="center" vertical="center"/>
    </xf>
    <xf numFmtId="0" fontId="2" fillId="3" borderId="47" xfId="138" applyFill="1" applyBorder="1" applyAlignment="1">
      <alignment horizontal="center" vertical="center"/>
    </xf>
    <xf numFmtId="190" fontId="2" fillId="3" borderId="34" xfId="138" applyNumberFormat="1" applyFill="1" applyBorder="1" applyAlignment="1">
      <alignment horizontal="center" vertical="center"/>
    </xf>
    <xf numFmtId="0" fontId="2" fillId="3" borderId="48" xfId="138" applyFill="1" applyBorder="1" applyAlignment="1">
      <alignment horizontal="center" vertical="center"/>
    </xf>
    <xf numFmtId="190" fontId="2" fillId="3" borderId="35" xfId="138" applyNumberFormat="1" applyFill="1" applyBorder="1" applyAlignment="1">
      <alignment horizontal="center" vertical="center"/>
    </xf>
    <xf numFmtId="0" fontId="154" fillId="0" borderId="0" xfId="0" applyFont="1" applyAlignment="1">
      <alignment vertical="center"/>
    </xf>
    <xf numFmtId="172" fontId="135" fillId="0" borderId="0" xfId="0" applyNumberFormat="1" applyFont="1" applyAlignment="1">
      <alignment horizontal="center" vertical="center" wrapText="1" shrinkToFit="1"/>
    </xf>
    <xf numFmtId="2" fontId="132" fillId="0" borderId="1" xfId="0" applyNumberFormat="1" applyFont="1" applyBorder="1" applyAlignment="1">
      <alignment horizontal="center" vertical="center"/>
    </xf>
    <xf numFmtId="171" fontId="132" fillId="0" borderId="1" xfId="4" applyNumberFormat="1" applyFont="1" applyFill="1" applyBorder="1" applyAlignment="1">
      <alignment horizontal="center" vertical="center" wrapText="1" shrinkToFit="1"/>
    </xf>
    <xf numFmtId="173" fontId="132" fillId="0" borderId="1" xfId="0" applyNumberFormat="1" applyFont="1" applyBorder="1" applyAlignment="1">
      <alignment horizontal="center" vertical="center" wrapText="1" shrinkToFit="1"/>
    </xf>
    <xf numFmtId="0" fontId="163" fillId="16" borderId="36" xfId="98" applyFont="1" applyFill="1" applyBorder="1" applyAlignment="1">
      <alignment horizontal="center"/>
    </xf>
    <xf numFmtId="0" fontId="163" fillId="16" borderId="37" xfId="98" applyFont="1" applyFill="1" applyBorder="1" applyAlignment="1">
      <alignment horizontal="center"/>
    </xf>
    <xf numFmtId="0" fontId="42" fillId="16" borderId="36" xfId="98" applyFill="1" applyBorder="1" applyAlignment="1">
      <alignment horizontal="center"/>
    </xf>
    <xf numFmtId="0" fontId="2" fillId="16" borderId="36" xfId="98" applyFont="1" applyFill="1" applyBorder="1" applyAlignment="1">
      <alignment horizontal="center"/>
    </xf>
    <xf numFmtId="0" fontId="42" fillId="16" borderId="37" xfId="98" applyFill="1" applyBorder="1" applyAlignment="1">
      <alignment horizontal="center"/>
    </xf>
    <xf numFmtId="0" fontId="42" fillId="0" borderId="0" xfId="98"/>
    <xf numFmtId="0" fontId="44" fillId="0" borderId="0" xfId="96"/>
    <xf numFmtId="0" fontId="60" fillId="0" borderId="0" xfId="80"/>
    <xf numFmtId="11" fontId="60" fillId="0" borderId="0" xfId="80" applyNumberFormat="1"/>
    <xf numFmtId="0" fontId="113" fillId="0" borderId="0" xfId="27"/>
    <xf numFmtId="2" fontId="42" fillId="0" borderId="0" xfId="98" applyNumberFormat="1" applyAlignment="1">
      <alignment horizontal="center"/>
    </xf>
    <xf numFmtId="167" fontId="132" fillId="3" borderId="0" xfId="0" applyNumberFormat="1" applyFont="1" applyFill="1" applyAlignment="1">
      <alignment horizontal="center" vertical="center"/>
    </xf>
    <xf numFmtId="10" fontId="0" fillId="0" borderId="1" xfId="0" applyNumberFormat="1" applyBorder="1"/>
    <xf numFmtId="164" fontId="0" fillId="0" borderId="1" xfId="3" applyFont="1" applyBorder="1"/>
    <xf numFmtId="164" fontId="0" fillId="0" borderId="1" xfId="3" applyFont="1" applyFill="1" applyBorder="1"/>
    <xf numFmtId="0" fontId="133" fillId="3" borderId="0" xfId="0" applyFont="1" applyFill="1" applyAlignment="1">
      <alignment horizontal="center" vertical="center"/>
    </xf>
    <xf numFmtId="188" fontId="0" fillId="0" borderId="0" xfId="3" applyNumberFormat="1" applyFont="1"/>
    <xf numFmtId="164" fontId="0" fillId="0" borderId="0" xfId="3" applyFont="1"/>
    <xf numFmtId="0" fontId="132" fillId="4" borderId="0" xfId="0" applyFont="1" applyFill="1"/>
    <xf numFmtId="0" fontId="0" fillId="4" borderId="0" xfId="0" applyFill="1" applyAlignment="1">
      <alignment horizontal="center"/>
    </xf>
    <xf numFmtId="0" fontId="42" fillId="16" borderId="52" xfId="98" applyFill="1" applyBorder="1" applyAlignment="1">
      <alignment horizontal="center"/>
    </xf>
    <xf numFmtId="0" fontId="2" fillId="0" borderId="6" xfId="98" applyFont="1" applyBorder="1" applyAlignment="1">
      <alignment horizontal="center"/>
    </xf>
    <xf numFmtId="0" fontId="2" fillId="0" borderId="0" xfId="98" applyFont="1" applyAlignment="1">
      <alignment horizontal="center"/>
    </xf>
    <xf numFmtId="0" fontId="113" fillId="0" borderId="9" xfId="27" applyBorder="1"/>
    <xf numFmtId="164" fontId="0" fillId="0" borderId="9" xfId="3" applyFont="1" applyBorder="1"/>
    <xf numFmtId="164" fontId="0" fillId="0" borderId="9" xfId="3" applyFont="1" applyFill="1" applyBorder="1"/>
    <xf numFmtId="0" fontId="60" fillId="0" borderId="9" xfId="80" applyBorder="1"/>
    <xf numFmtId="0" fontId="132" fillId="0" borderId="9" xfId="0" applyFont="1" applyBorder="1" applyAlignment="1">
      <alignment vertical="center" wrapText="1"/>
    </xf>
    <xf numFmtId="2" fontId="42" fillId="0" borderId="9" xfId="98" applyNumberFormat="1" applyBorder="1" applyAlignment="1">
      <alignment horizontal="center"/>
    </xf>
    <xf numFmtId="167" fontId="0" fillId="3" borderId="9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183" fillId="0" borderId="0" xfId="80" applyFont="1" applyAlignment="1">
      <alignment vertical="center"/>
    </xf>
    <xf numFmtId="10" fontId="0" fillId="0" borderId="4" xfId="7" applyNumberFormat="1" applyFont="1" applyBorder="1"/>
    <xf numFmtId="0" fontId="0" fillId="0" borderId="4" xfId="0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183" fillId="0" borderId="4" xfId="80" applyFont="1" applyBorder="1" applyAlignment="1">
      <alignment vertical="center"/>
    </xf>
    <xf numFmtId="2" fontId="132" fillId="2" borderId="0" xfId="0" applyNumberFormat="1" applyFont="1" applyFill="1" applyAlignment="1">
      <alignment horizontal="right" vertical="center"/>
    </xf>
    <xf numFmtId="169" fontId="132" fillId="3" borderId="1" xfId="0" applyNumberFormat="1" applyFont="1" applyFill="1" applyBorder="1" applyAlignment="1">
      <alignment horizontal="right" vertical="center"/>
    </xf>
    <xf numFmtId="0" fontId="132" fillId="2" borderId="0" xfId="0" quotePrefix="1" applyFont="1" applyFill="1" applyAlignment="1">
      <alignment horizontal="center"/>
    </xf>
    <xf numFmtId="173" fontId="132" fillId="0" borderId="0" xfId="0" applyNumberFormat="1" applyFont="1" applyAlignment="1">
      <alignment horizontal="center" vertical="center" wrapText="1" shrinkToFit="1"/>
    </xf>
    <xf numFmtId="171" fontId="132" fillId="0" borderId="0" xfId="4" applyNumberFormat="1" applyFont="1" applyFill="1" applyBorder="1" applyAlignment="1">
      <alignment horizontal="center" vertical="center" wrapText="1" shrinkToFit="1"/>
    </xf>
    <xf numFmtId="0" fontId="141" fillId="0" borderId="0" xfId="0" applyFont="1" applyAlignment="1">
      <alignment vertical="center"/>
    </xf>
    <xf numFmtId="0" fontId="132" fillId="0" borderId="0" xfId="0" applyFont="1" applyAlignment="1">
      <alignment horizontal="center" vertical="center"/>
    </xf>
    <xf numFmtId="3" fontId="0" fillId="0" borderId="0" xfId="0" applyNumberFormat="1" applyAlignment="1">
      <alignment horizontal="center"/>
    </xf>
    <xf numFmtId="0" fontId="132" fillId="4" borderId="0" xfId="0" applyFont="1" applyFill="1" applyAlignment="1">
      <alignment horizontal="center"/>
    </xf>
    <xf numFmtId="0" fontId="133" fillId="2" borderId="0" xfId="0" applyFont="1" applyFill="1" applyAlignment="1">
      <alignment horizontal="center" vertical="center"/>
    </xf>
    <xf numFmtId="171" fontId="133" fillId="2" borderId="0" xfId="0" applyNumberFormat="1" applyFont="1" applyFill="1" applyAlignment="1">
      <alignment horizontal="center" vertical="center" wrapText="1" shrinkToFit="1"/>
    </xf>
    <xf numFmtId="191" fontId="0" fillId="2" borderId="0" xfId="0" applyNumberFormat="1" applyFill="1" applyAlignment="1">
      <alignment vertical="center"/>
    </xf>
    <xf numFmtId="0" fontId="132" fillId="0" borderId="0" xfId="0" applyFont="1" applyAlignment="1">
      <alignment horizontal="left" vertical="center"/>
    </xf>
    <xf numFmtId="0" fontId="154" fillId="2" borderId="0" xfId="0" applyFont="1" applyFill="1" applyAlignment="1">
      <alignment horizontal="left" vertical="center"/>
    </xf>
    <xf numFmtId="0" fontId="132" fillId="0" borderId="17" xfId="0" applyFont="1" applyBorder="1"/>
    <xf numFmtId="2" fontId="0" fillId="12" borderId="22" xfId="0" applyNumberFormat="1" applyFill="1" applyBorder="1"/>
    <xf numFmtId="167" fontId="133" fillId="0" borderId="0" xfId="0" applyNumberFormat="1" applyFont="1"/>
    <xf numFmtId="0" fontId="133" fillId="0" borderId="21" xfId="0" applyFont="1" applyBorder="1"/>
    <xf numFmtId="167" fontId="133" fillId="0" borderId="22" xfId="0" applyNumberFormat="1" applyFont="1" applyBorder="1"/>
    <xf numFmtId="192" fontId="139" fillId="0" borderId="1" xfId="25" applyNumberFormat="1" applyFont="1" applyFill="1" applyBorder="1" applyAlignment="1">
      <alignment horizontal="center" vertical="center"/>
    </xf>
    <xf numFmtId="192" fontId="160" fillId="0" borderId="1" xfId="25" applyNumberFormat="1" applyFont="1" applyFill="1" applyBorder="1" applyAlignment="1">
      <alignment horizontal="center" vertical="center"/>
    </xf>
    <xf numFmtId="192" fontId="0" fillId="0" borderId="1" xfId="25" applyNumberFormat="1" applyFont="1" applyFill="1" applyBorder="1" applyAlignment="1">
      <alignment horizontal="center" vertical="center"/>
    </xf>
    <xf numFmtId="188" fontId="160" fillId="0" borderId="1" xfId="3" applyNumberFormat="1" applyFont="1" applyFill="1" applyBorder="1" applyAlignment="1">
      <alignment horizontal="center" vertical="center"/>
    </xf>
    <xf numFmtId="0" fontId="1" fillId="3" borderId="29" xfId="138" applyFont="1" applyFill="1" applyBorder="1"/>
    <xf numFmtId="0" fontId="139" fillId="4" borderId="0" xfId="0" applyFont="1" applyFill="1" applyAlignment="1">
      <alignment vertical="center"/>
    </xf>
    <xf numFmtId="0" fontId="132" fillId="4" borderId="0" xfId="139" applyFill="1" applyAlignment="1">
      <alignment vertical="center"/>
    </xf>
    <xf numFmtId="0" fontId="132" fillId="4" borderId="0" xfId="139" applyFill="1" applyAlignment="1">
      <alignment horizontal="center" vertical="center"/>
    </xf>
    <xf numFmtId="171" fontId="132" fillId="4" borderId="1" xfId="139" applyNumberFormat="1" applyFill="1" applyBorder="1" applyAlignment="1">
      <alignment horizontal="center" vertical="center" wrapText="1" shrinkToFit="1"/>
    </xf>
    <xf numFmtId="0" fontId="139" fillId="3" borderId="6" xfId="0" applyFont="1" applyFill="1" applyBorder="1" applyAlignment="1">
      <alignment vertical="center"/>
    </xf>
    <xf numFmtId="169" fontId="139" fillId="3" borderId="1" xfId="0" applyNumberFormat="1" applyFont="1" applyFill="1" applyBorder="1" applyAlignment="1">
      <alignment horizontal="center" vertical="center"/>
    </xf>
    <xf numFmtId="0" fontId="187" fillId="16" borderId="36" xfId="98" applyFont="1" applyFill="1" applyBorder="1" applyAlignment="1">
      <alignment horizontal="center"/>
    </xf>
    <xf numFmtId="0" fontId="187" fillId="16" borderId="51" xfId="98" applyFont="1" applyFill="1" applyBorder="1" applyAlignment="1">
      <alignment horizontal="center"/>
    </xf>
    <xf numFmtId="0" fontId="187" fillId="0" borderId="36" xfId="98" applyFont="1" applyBorder="1" applyAlignment="1">
      <alignment horizontal="center"/>
    </xf>
    <xf numFmtId="0" fontId="187" fillId="0" borderId="51" xfId="98" applyFont="1" applyBorder="1" applyAlignment="1">
      <alignment horizontal="center"/>
    </xf>
    <xf numFmtId="0" fontId="132" fillId="0" borderId="1" xfId="0" applyFont="1" applyBorder="1" applyAlignment="1">
      <alignment horizontal="left" vertical="center"/>
    </xf>
    <xf numFmtId="178" fontId="132" fillId="3" borderId="0" xfId="3" applyNumberFormat="1" applyFont="1" applyFill="1" applyBorder="1" applyAlignment="1">
      <alignment horizontal="right" vertical="center" wrapText="1" shrinkToFit="1"/>
    </xf>
    <xf numFmtId="178" fontId="139" fillId="3" borderId="0" xfId="3" applyNumberFormat="1" applyFont="1" applyFill="1" applyBorder="1" applyAlignment="1">
      <alignment horizontal="right" vertical="center" wrapText="1" shrinkToFit="1"/>
    </xf>
    <xf numFmtId="0" fontId="0" fillId="0" borderId="0" xfId="0" applyAlignment="1">
      <alignment horizontal="center" vertical="center"/>
    </xf>
    <xf numFmtId="178" fontId="139" fillId="3" borderId="0" xfId="3" applyNumberFormat="1" applyFont="1" applyFill="1" applyBorder="1" applyAlignment="1">
      <alignment horizontal="left" vertical="center" wrapText="1" shrinkToFit="1"/>
    </xf>
    <xf numFmtId="178" fontId="133" fillId="3" borderId="0" xfId="3" applyNumberFormat="1" applyFont="1" applyFill="1" applyBorder="1" applyAlignment="1">
      <alignment horizontal="center" vertical="center" wrapText="1" shrinkToFit="1"/>
    </xf>
    <xf numFmtId="178" fontId="139" fillId="3" borderId="0" xfId="3" applyNumberFormat="1" applyFont="1" applyFill="1" applyBorder="1" applyAlignment="1">
      <alignment horizontal="center" vertical="center" wrapText="1" shrinkToFit="1"/>
    </xf>
    <xf numFmtId="0" fontId="132" fillId="3" borderId="1" xfId="0" applyFont="1" applyFill="1" applyBorder="1" applyAlignment="1">
      <alignment horizontal="center"/>
    </xf>
    <xf numFmtId="0" fontId="163" fillId="0" borderId="0" xfId="0" applyFont="1" applyAlignment="1">
      <alignment horizontal="center"/>
    </xf>
    <xf numFmtId="0" fontId="163" fillId="7" borderId="2" xfId="0" applyFont="1" applyFill="1" applyBorder="1" applyAlignment="1">
      <alignment horizontal="center"/>
    </xf>
    <xf numFmtId="0" fontId="163" fillId="7" borderId="11" xfId="0" applyFont="1" applyFill="1" applyBorder="1" applyAlignment="1">
      <alignment horizontal="center"/>
    </xf>
    <xf numFmtId="0" fontId="163" fillId="7" borderId="12" xfId="0" applyFont="1" applyFill="1" applyBorder="1" applyAlignment="1">
      <alignment horizontal="center"/>
    </xf>
    <xf numFmtId="178" fontId="132" fillId="3" borderId="0" xfId="3" applyNumberFormat="1" applyFont="1" applyFill="1" applyBorder="1" applyAlignment="1">
      <alignment horizontal="left" vertical="center" wrapText="1" shrinkToFit="1"/>
    </xf>
    <xf numFmtId="0" fontId="132" fillId="2" borderId="0" xfId="0" applyFont="1" applyFill="1" applyAlignment="1">
      <alignment horizontal="center" vertical="center"/>
    </xf>
    <xf numFmtId="2" fontId="139" fillId="3" borderId="0" xfId="0" applyNumberFormat="1" applyFont="1" applyFill="1" applyAlignment="1">
      <alignment horizontal="center" vertical="center"/>
    </xf>
    <xf numFmtId="0" fontId="139" fillId="4" borderId="2" xfId="0" applyFont="1" applyFill="1" applyBorder="1" applyAlignment="1">
      <alignment horizontal="left" vertical="center"/>
    </xf>
    <xf numFmtId="0" fontId="139" fillId="4" borderId="11" xfId="0" applyFont="1" applyFill="1" applyBorder="1" applyAlignment="1">
      <alignment horizontal="left" vertical="center"/>
    </xf>
    <xf numFmtId="0" fontId="139" fillId="4" borderId="1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44" fillId="3" borderId="0" xfId="0" applyFont="1" applyFill="1" applyAlignment="1">
      <alignment horizontal="center" vertical="center"/>
    </xf>
    <xf numFmtId="0" fontId="132" fillId="4" borderId="2" xfId="0" applyFont="1" applyFill="1" applyBorder="1" applyAlignment="1">
      <alignment horizontal="center" vertical="center"/>
    </xf>
    <xf numFmtId="0" fontId="132" fillId="4" borderId="11" xfId="0" applyFont="1" applyFill="1" applyBorder="1" applyAlignment="1">
      <alignment horizontal="center" vertical="center"/>
    </xf>
    <xf numFmtId="0" fontId="132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39" fillId="2" borderId="3" xfId="0" applyFont="1" applyFill="1" applyBorder="1" applyAlignment="1">
      <alignment horizontal="center" vertical="center"/>
    </xf>
    <xf numFmtId="0" fontId="139" fillId="2" borderId="4" xfId="0" applyFont="1" applyFill="1" applyBorder="1" applyAlignment="1">
      <alignment horizontal="center" vertical="center"/>
    </xf>
    <xf numFmtId="0" fontId="139" fillId="2" borderId="6" xfId="0" applyFont="1" applyFill="1" applyBorder="1" applyAlignment="1">
      <alignment horizontal="center" vertical="center"/>
    </xf>
    <xf numFmtId="0" fontId="13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3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63" fillId="3" borderId="0" xfId="138" applyFont="1" applyFill="1" applyAlignment="1">
      <alignment horizontal="center"/>
    </xf>
    <xf numFmtId="2" fontId="2" fillId="3" borderId="8" xfId="138" applyNumberFormat="1" applyFill="1" applyBorder="1" applyAlignment="1">
      <alignment horizontal="center"/>
    </xf>
    <xf numFmtId="2" fontId="2" fillId="3" borderId="10" xfId="138" applyNumberFormat="1" applyFill="1" applyBorder="1" applyAlignment="1">
      <alignment horizontal="center"/>
    </xf>
    <xf numFmtId="0" fontId="2" fillId="3" borderId="2" xfId="138" applyFill="1" applyBorder="1" applyAlignment="1">
      <alignment horizontal="center"/>
    </xf>
    <xf numFmtId="0" fontId="2" fillId="3" borderId="12" xfId="138" applyFill="1" applyBorder="1" applyAlignment="1">
      <alignment horizontal="center"/>
    </xf>
    <xf numFmtId="2" fontId="2" fillId="3" borderId="6" xfId="138" applyNumberFormat="1" applyFill="1" applyBorder="1" applyAlignment="1">
      <alignment horizontal="center"/>
    </xf>
    <xf numFmtId="2" fontId="2" fillId="3" borderId="7" xfId="138" applyNumberFormat="1" applyFill="1" applyBorder="1" applyAlignment="1">
      <alignment horizontal="center"/>
    </xf>
    <xf numFmtId="0" fontId="139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/>
    </xf>
    <xf numFmtId="0" fontId="0" fillId="17" borderId="2" xfId="0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132" fillId="8" borderId="19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132" fillId="9" borderId="19" xfId="0" applyFont="1" applyFill="1" applyBorder="1" applyAlignment="1">
      <alignment horizontal="center"/>
    </xf>
    <xf numFmtId="0" fontId="132" fillId="9" borderId="0" xfId="0" applyFont="1" applyFill="1" applyAlignment="1">
      <alignment horizontal="center"/>
    </xf>
    <xf numFmtId="0" fontId="132" fillId="10" borderId="16" xfId="0" applyFont="1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132" fillId="8" borderId="16" xfId="0" applyFont="1" applyFill="1" applyBorder="1" applyAlignment="1">
      <alignment horizontal="center"/>
    </xf>
    <xf numFmtId="0" fontId="132" fillId="4" borderId="0" xfId="0" applyFont="1" applyFill="1" applyAlignment="1">
      <alignment horizontal="center" vertical="center"/>
    </xf>
    <xf numFmtId="0" fontId="132" fillId="0" borderId="0" xfId="0" applyFont="1" applyAlignment="1">
      <alignment horizontal="center"/>
    </xf>
    <xf numFmtId="0" fontId="132" fillId="4" borderId="6" xfId="0" applyFont="1" applyFill="1" applyBorder="1" applyAlignment="1">
      <alignment horizontal="center" vertical="center"/>
    </xf>
    <xf numFmtId="0" fontId="15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2" fillId="9" borderId="1" xfId="0" applyFont="1" applyFill="1" applyBorder="1" applyAlignment="1">
      <alignment horizontal="center" vertical="center"/>
    </xf>
    <xf numFmtId="0" fontId="132" fillId="4" borderId="6" xfId="0" applyFont="1" applyFill="1" applyBorder="1" applyAlignment="1">
      <alignment horizontal="left" vertical="center"/>
    </xf>
    <xf numFmtId="0" fontId="132" fillId="4" borderId="0" xfId="0" applyFont="1" applyFill="1" applyAlignment="1">
      <alignment horizontal="left" vertical="center"/>
    </xf>
    <xf numFmtId="171" fontId="133" fillId="0" borderId="33" xfId="0" applyNumberFormat="1" applyFont="1" applyBorder="1" applyAlignment="1">
      <alignment horizontal="center" vertical="center"/>
    </xf>
    <xf numFmtId="171" fontId="133" fillId="0" borderId="35" xfId="0" applyNumberFormat="1" applyFont="1" applyBorder="1" applyAlignment="1">
      <alignment horizontal="center" vertical="center"/>
    </xf>
    <xf numFmtId="0" fontId="133" fillId="0" borderId="16" xfId="0" applyFont="1" applyBorder="1" applyAlignment="1">
      <alignment horizontal="center" vertical="center" wrapText="1"/>
    </xf>
    <xf numFmtId="0" fontId="133" fillId="0" borderId="21" xfId="0" applyFont="1" applyBorder="1" applyAlignment="1">
      <alignment horizontal="center" vertical="center" wrapText="1"/>
    </xf>
    <xf numFmtId="0" fontId="182" fillId="0" borderId="16" xfId="0" applyFont="1" applyBorder="1" applyAlignment="1">
      <alignment horizontal="center" vertical="center" wrapText="1"/>
    </xf>
    <xf numFmtId="0" fontId="182" fillId="0" borderId="21" xfId="0" applyFont="1" applyBorder="1" applyAlignment="1">
      <alignment horizontal="center" vertical="center" wrapText="1"/>
    </xf>
    <xf numFmtId="0" fontId="133" fillId="0" borderId="16" xfId="0" applyFont="1" applyBorder="1" applyAlignment="1">
      <alignment horizontal="center" vertical="center"/>
    </xf>
    <xf numFmtId="0" fontId="133" fillId="0" borderId="19" xfId="0" applyFont="1" applyBorder="1" applyAlignment="1">
      <alignment horizontal="center" vertical="center"/>
    </xf>
    <xf numFmtId="0" fontId="133" fillId="0" borderId="21" xfId="0" applyFont="1" applyBorder="1" applyAlignment="1">
      <alignment horizontal="center" vertical="center"/>
    </xf>
    <xf numFmtId="171" fontId="133" fillId="0" borderId="34" xfId="0" applyNumberFormat="1" applyFont="1" applyBorder="1" applyAlignment="1">
      <alignment horizontal="center" vertical="center"/>
    </xf>
    <xf numFmtId="0" fontId="133" fillId="8" borderId="16" xfId="0" applyFont="1" applyFill="1" applyBorder="1" applyAlignment="1">
      <alignment horizontal="center"/>
    </xf>
    <xf numFmtId="0" fontId="133" fillId="8" borderId="17" xfId="0" applyFont="1" applyFill="1" applyBorder="1" applyAlignment="1">
      <alignment horizontal="center"/>
    </xf>
    <xf numFmtId="0" fontId="133" fillId="8" borderId="18" xfId="0" applyFont="1" applyFill="1" applyBorder="1" applyAlignment="1">
      <alignment horizontal="center"/>
    </xf>
  </cellXfs>
  <cellStyles count="236">
    <cellStyle name="Euro" xfId="1" xr:uid="{00000000-0005-0000-0000-000000000000}"/>
    <cellStyle name="Euro 2" xfId="2" xr:uid="{00000000-0005-0000-0000-000001000000}"/>
    <cellStyle name="Euro 2 2" xfId="140" xr:uid="{84CA5DD1-B840-4DD1-A24C-A17681AA49AB}"/>
    <cellStyle name="Millares" xfId="3" builtinId="3"/>
    <cellStyle name="Millares [0]" xfId="25" builtinId="6"/>
    <cellStyle name="Millares [0] 2" xfId="161" xr:uid="{DFA0520B-A328-4368-AFDD-351308F8B617}"/>
    <cellStyle name="Millares 2" xfId="141" xr:uid="{ED5E3929-A406-44FF-AC3B-4F35E3DAE9FF}"/>
    <cellStyle name="Millares_Casa La Fontana A análisis" xfId="4" xr:uid="{00000000-0005-0000-0000-000004000000}"/>
    <cellStyle name="Normal" xfId="0" builtinId="0"/>
    <cellStyle name="Normal 10" xfId="14" xr:uid="{00000000-0005-0000-0000-000006000000}"/>
    <cellStyle name="Normal 10 2" xfId="150" xr:uid="{A663CF20-D3F6-4A77-8101-03C63DA2A881}"/>
    <cellStyle name="Normal 100" xfId="105" xr:uid="{D2F0FF8A-5BDD-4AA2-89E1-D46CBDF5C432}"/>
    <cellStyle name="Normal 101" xfId="106" xr:uid="{F3CF25CD-24CB-4363-8C42-699516F97D07}"/>
    <cellStyle name="Normal 102" xfId="107" xr:uid="{E67B579B-6A2E-4289-853C-C1EF6628D921}"/>
    <cellStyle name="Normal 103" xfId="108" xr:uid="{5A0A3427-0866-4FD3-8E95-4C6B1BE75504}"/>
    <cellStyle name="Normal 104" xfId="109" xr:uid="{F78D767F-6558-4167-9D0F-891DAADAF3E8}"/>
    <cellStyle name="Normal 105" xfId="110" xr:uid="{73158DB4-CF10-403F-8188-92AABEBDA914}"/>
    <cellStyle name="Normal 106" xfId="111" xr:uid="{C57340F6-5384-4235-B300-F9A0E65A1EA0}"/>
    <cellStyle name="Normal 107" xfId="112" xr:uid="{BD168F94-A259-4CCC-8296-EABFB463BECE}"/>
    <cellStyle name="Normal 108" xfId="113" xr:uid="{65275AE2-0734-45BB-A5F2-8A34F7D72841}"/>
    <cellStyle name="Normal 109" xfId="114" xr:uid="{CE054775-79E6-4F1B-9F6A-5F2CB729C5DA}"/>
    <cellStyle name="Normal 11" xfId="15" xr:uid="{00000000-0005-0000-0000-000007000000}"/>
    <cellStyle name="Normal 11 2" xfId="151" xr:uid="{9CEC551C-BB3D-4CB3-B00A-EC210737EC77}"/>
    <cellStyle name="Normal 110" xfId="115" xr:uid="{207D70CA-81CB-4F5F-A458-1D9852075C47}"/>
    <cellStyle name="Normal 111" xfId="116" xr:uid="{33527800-C2E0-4A91-9C72-15E3CBD7CEDA}"/>
    <cellStyle name="Normal 112" xfId="117" xr:uid="{E5BEF0BF-F35F-435E-A2E7-4E5C097562D6}"/>
    <cellStyle name="Normal 113" xfId="118" xr:uid="{8C78B7F6-E150-41FD-AF86-B0CE4409C5AF}"/>
    <cellStyle name="Normal 114" xfId="119" xr:uid="{79BFCBC1-7A1E-49F8-8D6F-21DAA941C79B}"/>
    <cellStyle name="Normal 115" xfId="120" xr:uid="{628C60B6-B70C-4A39-BD10-16D217EDB16B}"/>
    <cellStyle name="Normal 116" xfId="121" xr:uid="{817A5959-4848-463C-BAFC-447A7BCAA5E5}"/>
    <cellStyle name="Normal 117" xfId="122" xr:uid="{FD3BC92D-B2CD-4A04-A046-140CCC8B6EFD}"/>
    <cellStyle name="Normal 118" xfId="123" xr:uid="{D4BF5773-C820-4B80-A626-43348FCC87C0}"/>
    <cellStyle name="Normal 119" xfId="124" xr:uid="{3543C90F-CBAF-4BF3-9047-89738AA28336}"/>
    <cellStyle name="Normal 12" xfId="16" xr:uid="{00000000-0005-0000-0000-000008000000}"/>
    <cellStyle name="Normal 12 2" xfId="152" xr:uid="{04F4CB7D-D58B-49FD-843C-758CED212265}"/>
    <cellStyle name="Normal 120" xfId="125" xr:uid="{A5F9228E-6544-454D-9BB0-F5FA2580D218}"/>
    <cellStyle name="Normal 121" xfId="126" xr:uid="{958C4946-268E-4EA2-9B19-B4CFEA2CE414}"/>
    <cellStyle name="Normal 122" xfId="127" xr:uid="{63729687-3390-48BE-B48C-580A9ECD9E84}"/>
    <cellStyle name="Normal 123" xfId="128" xr:uid="{57A40AB1-46AB-447F-AB2B-103D25AD778A}"/>
    <cellStyle name="Normal 124" xfId="129" xr:uid="{11FCC30D-A6EF-4EC0-8962-EB5398242848}"/>
    <cellStyle name="Normal 125" xfId="130" xr:uid="{EEA54410-6258-470E-BE74-3A1FC774C08B}"/>
    <cellStyle name="Normal 126" xfId="131" xr:uid="{83978AD2-237B-499E-A3A6-516F57FACF5C}"/>
    <cellStyle name="Normal 127" xfId="132" xr:uid="{49145D2E-3375-4AFE-84E1-061F4F3BF124}"/>
    <cellStyle name="Normal 128" xfId="133" xr:uid="{18E6CC46-BFEC-46CB-9090-5A53FA99C40B}"/>
    <cellStyle name="Normal 129" xfId="134" xr:uid="{B55FE9BF-C28A-43ED-9B21-0F0810A9F369}"/>
    <cellStyle name="Normal 13" xfId="17" xr:uid="{00000000-0005-0000-0000-000009000000}"/>
    <cellStyle name="Normal 13 2" xfId="153" xr:uid="{FE9C5E10-92A8-4B0F-BF2E-93C1DFF8D8F6}"/>
    <cellStyle name="Normal 130" xfId="135" xr:uid="{5211C6E8-D673-406C-BB8E-33662E4531DC}"/>
    <cellStyle name="Normal 131" xfId="136" xr:uid="{5E0E95C3-1888-4154-9F45-618B9D0E3B35}"/>
    <cellStyle name="Normal 132" xfId="137" xr:uid="{2A196222-6C6F-43BC-8FC0-D32AE32CB049}"/>
    <cellStyle name="Normal 133" xfId="138" xr:uid="{250A8ED5-5A27-4393-AB85-660C2BDB5521}"/>
    <cellStyle name="Normal 134" xfId="139" xr:uid="{CEFEAC24-8181-4D11-BBA2-02BA8DB3C93B}"/>
    <cellStyle name="Normal 14" xfId="18" xr:uid="{00000000-0005-0000-0000-00000A000000}"/>
    <cellStyle name="Normal 14 2" xfId="154" xr:uid="{4D6D2107-B574-4062-AB6F-A30555B4D474}"/>
    <cellStyle name="Normal 15" xfId="19" xr:uid="{00000000-0005-0000-0000-00000B000000}"/>
    <cellStyle name="Normal 15 2" xfId="155" xr:uid="{A4D459A2-3D65-410C-9985-B0E95404244B}"/>
    <cellStyle name="Normal 16" xfId="20" xr:uid="{00000000-0005-0000-0000-00000C000000}"/>
    <cellStyle name="Normal 16 2" xfId="156" xr:uid="{AAB83643-3BFD-4212-92B8-93892796C80D}"/>
    <cellStyle name="Normal 17" xfId="21" xr:uid="{00000000-0005-0000-0000-00000D000000}"/>
    <cellStyle name="Normal 17 2" xfId="157" xr:uid="{489ACA94-34DE-4A37-9FB6-71AC3FD9E787}"/>
    <cellStyle name="Normal 18" xfId="22" xr:uid="{00000000-0005-0000-0000-00000E000000}"/>
    <cellStyle name="Normal 18 2" xfId="158" xr:uid="{307E5064-D8D6-44E0-8CD9-6749B0A7F95B}"/>
    <cellStyle name="Normal 19" xfId="23" xr:uid="{00000000-0005-0000-0000-00000F000000}"/>
    <cellStyle name="Normal 19 2" xfId="159" xr:uid="{C9ED27BD-C3E6-4DF2-9F81-4505E3DB7484}"/>
    <cellStyle name="Normal 2" xfId="5" xr:uid="{00000000-0005-0000-0000-000010000000}"/>
    <cellStyle name="Normal 2 2" xfId="142" xr:uid="{3B49A82C-1B1B-4FB2-872D-A3D29DBB1CE4}"/>
    <cellStyle name="Normal 20" xfId="24" xr:uid="{00000000-0005-0000-0000-000011000000}"/>
    <cellStyle name="Normal 20 2" xfId="160" xr:uid="{E12BE5C6-3897-4BE8-A393-E334ECD4101D}"/>
    <cellStyle name="Normal 21" xfId="26" xr:uid="{00000000-0005-0000-0000-000012000000}"/>
    <cellStyle name="Normal 21 2" xfId="162" xr:uid="{00ADEA09-7F83-419C-BBA6-E490FA2435CE}"/>
    <cellStyle name="Normal 22" xfId="27" xr:uid="{00000000-0005-0000-0000-000013000000}"/>
    <cellStyle name="Normal 22 2" xfId="163" xr:uid="{B4CE3914-C931-4F32-9A4E-9015878A2349}"/>
    <cellStyle name="Normal 23" xfId="28" xr:uid="{00000000-0005-0000-0000-000014000000}"/>
    <cellStyle name="Normal 23 2" xfId="164" xr:uid="{D6BF81C7-E95A-4F41-8B0F-117B9F5E0D60}"/>
    <cellStyle name="Normal 24" xfId="29" xr:uid="{00000000-0005-0000-0000-000015000000}"/>
    <cellStyle name="Normal 24 2" xfId="165" xr:uid="{DF86D195-CB23-43D0-8EE0-0E34358BBE4D}"/>
    <cellStyle name="Normal 25" xfId="30" xr:uid="{00000000-0005-0000-0000-000016000000}"/>
    <cellStyle name="Normal 25 2" xfId="166" xr:uid="{B85948BE-08BD-4AEF-B406-D12A3886CC3D}"/>
    <cellStyle name="Normal 26" xfId="31" xr:uid="{00000000-0005-0000-0000-000017000000}"/>
    <cellStyle name="Normal 26 2" xfId="167" xr:uid="{804FFD73-530F-4D08-BD69-50815A9CBFD4}"/>
    <cellStyle name="Normal 27" xfId="32" xr:uid="{00000000-0005-0000-0000-000018000000}"/>
    <cellStyle name="Normal 27 2" xfId="168" xr:uid="{98B6CDFF-75D5-40C8-AA16-1A02349FF4BE}"/>
    <cellStyle name="Normal 28" xfId="33" xr:uid="{00000000-0005-0000-0000-000019000000}"/>
    <cellStyle name="Normal 28 2" xfId="169" xr:uid="{B48E4A57-FB0F-474A-B361-BD341AFEDA88}"/>
    <cellStyle name="Normal 29" xfId="34" xr:uid="{00000000-0005-0000-0000-00001A000000}"/>
    <cellStyle name="Normal 29 2" xfId="170" xr:uid="{F88891AA-DB1F-49CE-B159-8DA1D98E170E}"/>
    <cellStyle name="Normal 3" xfId="6" xr:uid="{00000000-0005-0000-0000-00001B000000}"/>
    <cellStyle name="Normal 3 2" xfId="143" xr:uid="{4AA9FF2C-40DC-4A0B-9CBE-ABDAF6F3C958}"/>
    <cellStyle name="Normal 30" xfId="35" xr:uid="{00000000-0005-0000-0000-00001C000000}"/>
    <cellStyle name="Normal 30 2" xfId="171" xr:uid="{0CD05260-BED0-4107-A989-461B79061582}"/>
    <cellStyle name="Normal 31" xfId="36" xr:uid="{00000000-0005-0000-0000-00001D000000}"/>
    <cellStyle name="Normal 31 2" xfId="172" xr:uid="{8B0043C4-426D-47E5-99ED-92EFBAFB79AD}"/>
    <cellStyle name="Normal 32" xfId="37" xr:uid="{00000000-0005-0000-0000-00001E000000}"/>
    <cellStyle name="Normal 32 2" xfId="173" xr:uid="{F46B656A-572C-40F8-B38A-28481033D4BE}"/>
    <cellStyle name="Normal 33" xfId="38" xr:uid="{00000000-0005-0000-0000-00001F000000}"/>
    <cellStyle name="Normal 33 2" xfId="174" xr:uid="{CA989BE1-0E9B-45FB-A677-E6872C40135B}"/>
    <cellStyle name="Normal 34" xfId="39" xr:uid="{00000000-0005-0000-0000-000020000000}"/>
    <cellStyle name="Normal 34 2" xfId="175" xr:uid="{BC0710BB-3C6E-4AED-8353-E96C532D9EB8}"/>
    <cellStyle name="Normal 35" xfId="40" xr:uid="{00000000-0005-0000-0000-000021000000}"/>
    <cellStyle name="Normal 35 2" xfId="176" xr:uid="{7A83D279-3C34-49F2-AF86-495374FC35AD}"/>
    <cellStyle name="Normal 36" xfId="41" xr:uid="{00000000-0005-0000-0000-000022000000}"/>
    <cellStyle name="Normal 36 2" xfId="177" xr:uid="{DBA70454-173D-497D-A290-10CCBB85E156}"/>
    <cellStyle name="Normal 37" xfId="42" xr:uid="{00000000-0005-0000-0000-000023000000}"/>
    <cellStyle name="Normal 37 2" xfId="178" xr:uid="{D9890399-980E-4D26-9F0E-5C5DD2918E53}"/>
    <cellStyle name="Normal 38" xfId="43" xr:uid="{00000000-0005-0000-0000-000024000000}"/>
    <cellStyle name="Normal 38 2" xfId="179" xr:uid="{61803E60-13C9-4C99-990F-CDDE83A42610}"/>
    <cellStyle name="Normal 39" xfId="44" xr:uid="{00000000-0005-0000-0000-000025000000}"/>
    <cellStyle name="Normal 39 2" xfId="180" xr:uid="{FE766105-61A1-4245-B059-AE3D6700C371}"/>
    <cellStyle name="Normal 4" xfId="8" xr:uid="{00000000-0005-0000-0000-000026000000}"/>
    <cellStyle name="Normal 4 2" xfId="144" xr:uid="{11C88B0F-6BB8-4039-8F8D-1FEED15A9D2A}"/>
    <cellStyle name="Normal 40" xfId="45" xr:uid="{00000000-0005-0000-0000-000027000000}"/>
    <cellStyle name="Normal 40 2" xfId="181" xr:uid="{99659F22-0AE7-4166-99A4-2609B25786FA}"/>
    <cellStyle name="Normal 41" xfId="46" xr:uid="{00000000-0005-0000-0000-000028000000}"/>
    <cellStyle name="Normal 41 2" xfId="182" xr:uid="{895C884D-B224-4B96-B51F-EE671709C59F}"/>
    <cellStyle name="Normal 42" xfId="47" xr:uid="{9FABEB26-924A-473C-9F7B-83598F524A12}"/>
    <cellStyle name="Normal 42 2" xfId="183" xr:uid="{E142F8CE-C876-47A4-AC53-6FDDEDF82D4A}"/>
    <cellStyle name="Normal 43" xfId="48" xr:uid="{057F3240-1226-473C-8736-9240F968243F}"/>
    <cellStyle name="Normal 43 2" xfId="184" xr:uid="{B73ADC78-261A-40EC-BDAB-538133071637}"/>
    <cellStyle name="Normal 44" xfId="49" xr:uid="{A37E1A65-29D7-4503-81D8-0CEBA0832D6B}"/>
    <cellStyle name="Normal 44 2" xfId="185" xr:uid="{12E31258-B4BC-4432-BBAD-5AB7D4B2E550}"/>
    <cellStyle name="Normal 45" xfId="50" xr:uid="{77153C4B-5089-46CA-9FE1-A3B521FB5743}"/>
    <cellStyle name="Normal 45 2" xfId="186" xr:uid="{00B741A5-7344-4980-A3AF-00CE87778772}"/>
    <cellStyle name="Normal 46" xfId="51" xr:uid="{722CDCAF-70B4-43B6-A41D-6F67669D28C9}"/>
    <cellStyle name="Normal 46 2" xfId="187" xr:uid="{0BDD1601-790F-4639-A2C8-74834214B59B}"/>
    <cellStyle name="Normal 47" xfId="52" xr:uid="{F3FF39C7-68DE-4147-A167-BF2988847DFE}"/>
    <cellStyle name="Normal 47 2" xfId="188" xr:uid="{D66000C0-E6CC-4C02-B110-FC850A9F8E56}"/>
    <cellStyle name="Normal 48" xfId="53" xr:uid="{C268D6A2-2127-4BF0-8EC0-FB28410FD551}"/>
    <cellStyle name="Normal 48 2" xfId="189" xr:uid="{A6A43F7E-FB63-4FFC-ACCB-39309204C092}"/>
    <cellStyle name="Normal 49" xfId="54" xr:uid="{1E91B0E3-F3F8-47FB-8521-522D974D9943}"/>
    <cellStyle name="Normal 49 2" xfId="190" xr:uid="{03456E02-602F-431D-9FE1-478D3B35C273}"/>
    <cellStyle name="Normal 5" xfId="9" xr:uid="{00000000-0005-0000-0000-000029000000}"/>
    <cellStyle name="Normal 5 2" xfId="145" xr:uid="{D89D4C63-772E-4BD4-A72C-0D6313880EAC}"/>
    <cellStyle name="Normal 50" xfId="55" xr:uid="{425B4800-0799-4DF5-A57E-BDD4039261CF}"/>
    <cellStyle name="Normal 50 2" xfId="191" xr:uid="{CAD401FE-BA29-45E7-A253-CAFF9146FFA9}"/>
    <cellStyle name="Normal 51" xfId="56" xr:uid="{D9B81D80-2FF3-46FB-BDD8-F4127E63F2B3}"/>
    <cellStyle name="Normal 51 2" xfId="192" xr:uid="{EA0D83DA-7F77-4A3C-A6D9-6F8852637CAE}"/>
    <cellStyle name="Normal 52" xfId="57" xr:uid="{FB3BD96A-8656-4CE4-9478-3A44D592B5F3}"/>
    <cellStyle name="Normal 52 2" xfId="193" xr:uid="{5F39D7B6-B419-46C6-9E57-C3162A01ACDD}"/>
    <cellStyle name="Normal 53" xfId="58" xr:uid="{F6709730-0A9C-409C-8BDD-0D97158B2203}"/>
    <cellStyle name="Normal 53 2" xfId="194" xr:uid="{0F8907CA-08D0-4ABE-9102-6C02465F35F4}"/>
    <cellStyle name="Normal 54" xfId="59" xr:uid="{CB4FE125-F8F8-42BA-B5CA-03E1E215C4C8}"/>
    <cellStyle name="Normal 54 2" xfId="195" xr:uid="{80B5F211-F65C-4132-AD03-9031EA50280B}"/>
    <cellStyle name="Normal 55" xfId="60" xr:uid="{2490CC83-DB25-416E-AE7E-B3B724943FD3}"/>
    <cellStyle name="Normal 56" xfId="61" xr:uid="{00000000-0005-0000-0000-000068000000}"/>
    <cellStyle name="Normal 56 2" xfId="196" xr:uid="{1EC8FB95-7D97-43B4-84EA-96F1D8A642E5}"/>
    <cellStyle name="Normal 57" xfId="62" xr:uid="{00000000-0005-0000-0000-000069000000}"/>
    <cellStyle name="Normal 57 2" xfId="197" xr:uid="{4F17C7D5-A0EB-4E39-A3A5-6D12BCA1B37F}"/>
    <cellStyle name="Normal 58" xfId="63" xr:uid="{00000000-0005-0000-0000-00006A000000}"/>
    <cellStyle name="Normal 58 2" xfId="198" xr:uid="{7BDC820B-9AED-44EF-854F-A7F9B543F420}"/>
    <cellStyle name="Normal 59" xfId="64" xr:uid="{00000000-0005-0000-0000-00006B000000}"/>
    <cellStyle name="Normal 59 2" xfId="199" xr:uid="{B9090C4B-4D78-4554-B8A3-C9768DCA172D}"/>
    <cellStyle name="Normal 6" xfId="10" xr:uid="{00000000-0005-0000-0000-00002A000000}"/>
    <cellStyle name="Normal 6 2" xfId="146" xr:uid="{583D5369-303B-4A95-8440-2C607D364134}"/>
    <cellStyle name="Normal 60" xfId="65" xr:uid="{00000000-0005-0000-0000-00006C000000}"/>
    <cellStyle name="Normal 60 2" xfId="200" xr:uid="{FCFB8187-CF60-4A28-ACD2-6625800F768C}"/>
    <cellStyle name="Normal 61" xfId="66" xr:uid="{00000000-0005-0000-0000-00006D000000}"/>
    <cellStyle name="Normal 61 2" xfId="201" xr:uid="{18DB1967-88E2-4AC8-A191-2332E7B63C62}"/>
    <cellStyle name="Normal 62" xfId="67" xr:uid="{00000000-0005-0000-0000-00006E000000}"/>
    <cellStyle name="Normal 62 2" xfId="202" xr:uid="{7ED5B3D7-E5BB-4227-BDE0-0F68135AEBD2}"/>
    <cellStyle name="Normal 63" xfId="68" xr:uid="{00000000-0005-0000-0000-00006F000000}"/>
    <cellStyle name="Normal 63 2" xfId="203" xr:uid="{D7E59CF4-AD37-47B4-A0A2-EB456EF4606C}"/>
    <cellStyle name="Normal 64" xfId="69" xr:uid="{00000000-0005-0000-0000-000070000000}"/>
    <cellStyle name="Normal 64 2" xfId="204" xr:uid="{E9DCF689-A6E1-4603-82C3-60A8E5C473A8}"/>
    <cellStyle name="Normal 65" xfId="70" xr:uid="{00000000-0005-0000-0000-000071000000}"/>
    <cellStyle name="Normal 65 2" xfId="205" xr:uid="{ACEC9F97-2AB2-4FF9-BECB-62F7F5C5D429}"/>
    <cellStyle name="Normal 66" xfId="71" xr:uid="{00000000-0005-0000-0000-000072000000}"/>
    <cellStyle name="Normal 66 2" xfId="206" xr:uid="{516C1B25-04FE-4B01-AC79-FDE9B244D412}"/>
    <cellStyle name="Normal 67" xfId="72" xr:uid="{00000000-0005-0000-0000-000073000000}"/>
    <cellStyle name="Normal 67 2" xfId="207" xr:uid="{F426ED54-D7CD-4A96-B8D5-973FB86E2500}"/>
    <cellStyle name="Normal 68" xfId="73" xr:uid="{00000000-0005-0000-0000-000074000000}"/>
    <cellStyle name="Normal 68 2" xfId="208" xr:uid="{2533CAEB-24D3-4461-A8E0-D07ECBF5DAAF}"/>
    <cellStyle name="Normal 69" xfId="74" xr:uid="{00000000-0005-0000-0000-000075000000}"/>
    <cellStyle name="Normal 69 2" xfId="209" xr:uid="{596116B6-7381-4D08-A6D4-8725B985D3CD}"/>
    <cellStyle name="Normal 7" xfId="11" xr:uid="{00000000-0005-0000-0000-00002B000000}"/>
    <cellStyle name="Normal 7 2" xfId="147" xr:uid="{B25ACFC6-CC7C-4C09-B010-E4C75C53CFBF}"/>
    <cellStyle name="Normal 70" xfId="75" xr:uid="{00000000-0005-0000-0000-000076000000}"/>
    <cellStyle name="Normal 70 2" xfId="210" xr:uid="{682CC900-7AE1-4AAE-82C0-BB12184C0005}"/>
    <cellStyle name="Normal 71" xfId="76" xr:uid="{00000000-0005-0000-0000-000077000000}"/>
    <cellStyle name="Normal 71 2" xfId="211" xr:uid="{A82E7C6C-70AB-4D6D-849E-3EB19D6C68EE}"/>
    <cellStyle name="Normal 72" xfId="77" xr:uid="{00000000-0005-0000-0000-000078000000}"/>
    <cellStyle name="Normal 72 2" xfId="212" xr:uid="{93C91494-68D5-461E-8F43-DE5B04A326EC}"/>
    <cellStyle name="Normal 73" xfId="78" xr:uid="{00000000-0005-0000-0000-000079000000}"/>
    <cellStyle name="Normal 73 2" xfId="213" xr:uid="{B8741323-FCC1-4020-BCC6-F519F81FEDDD}"/>
    <cellStyle name="Normal 74" xfId="79" xr:uid="{00000000-0005-0000-0000-00007A000000}"/>
    <cellStyle name="Normal 74 2" xfId="214" xr:uid="{6D58B99D-734C-4F9E-9C8D-AC5135298EE5}"/>
    <cellStyle name="Normal 75" xfId="80" xr:uid="{00000000-0005-0000-0000-00007B000000}"/>
    <cellStyle name="Normal 75 2" xfId="215" xr:uid="{A9E5CD4D-184E-4B62-BD67-4C7BDD96B2D6}"/>
    <cellStyle name="Normal 76" xfId="81" xr:uid="{00000000-0005-0000-0000-00007C000000}"/>
    <cellStyle name="Normal 76 2" xfId="216" xr:uid="{7C47C81F-4E55-4A56-8EF8-2429E7ADB543}"/>
    <cellStyle name="Normal 77" xfId="82" xr:uid="{F25FD37D-CD14-4040-95EE-AA3976A57635}"/>
    <cellStyle name="Normal 77 2" xfId="217" xr:uid="{ECF9C1C2-4B90-4428-B5E7-A066F1DAA56F}"/>
    <cellStyle name="Normal 78" xfId="83" xr:uid="{53D3AF3A-5A9B-4E25-9980-8F29F1F61BEE}"/>
    <cellStyle name="Normal 78 2" xfId="218" xr:uid="{FE96A71C-7898-4D04-9922-78C9C8CECFBA}"/>
    <cellStyle name="Normal 79" xfId="84" xr:uid="{9FAE4BB2-5E3A-4D58-83DC-91350164B955}"/>
    <cellStyle name="Normal 79 2" xfId="219" xr:uid="{BD5AEE02-0889-4961-991D-BFF20CE03E80}"/>
    <cellStyle name="Normal 8" xfId="12" xr:uid="{00000000-0005-0000-0000-00002C000000}"/>
    <cellStyle name="Normal 8 2" xfId="148" xr:uid="{618D6187-72D0-4C56-9E3C-01FDCA8008BD}"/>
    <cellStyle name="Normal 80" xfId="85" xr:uid="{592C4EF7-7D4D-4FEF-824E-0E9DC54CC0CD}"/>
    <cellStyle name="Normal 80 2" xfId="220" xr:uid="{A0A153D5-51A9-4990-9F5A-F69C2B8D4B52}"/>
    <cellStyle name="Normal 81" xfId="86" xr:uid="{2D291B6F-0435-415B-B77B-55B529FC9BCC}"/>
    <cellStyle name="Normal 81 2" xfId="221" xr:uid="{4289B0C8-37EF-47B1-A227-900D8DD7490E}"/>
    <cellStyle name="Normal 82" xfId="87" xr:uid="{336A1E2B-B94B-4779-9099-DA745145208B}"/>
    <cellStyle name="Normal 82 2" xfId="222" xr:uid="{1C282C30-DFAA-451C-AB97-0A4FC5738359}"/>
    <cellStyle name="Normal 83" xfId="88" xr:uid="{8B1DD578-4344-4319-A5A3-27BEAA25C2E6}"/>
    <cellStyle name="Normal 83 2" xfId="223" xr:uid="{AEB05E4A-9CB8-41C0-AAC3-1339288D33F2}"/>
    <cellStyle name="Normal 84" xfId="89" xr:uid="{6789903E-FC41-4E07-BFA5-9CB288F229B4}"/>
    <cellStyle name="Normal 84 2" xfId="224" xr:uid="{883AD624-70DA-485C-BEB6-D0C082CF4876}"/>
    <cellStyle name="Normal 85" xfId="90" xr:uid="{1673D4AF-CDCB-4CBF-9EBE-E865BD46E9D6}"/>
    <cellStyle name="Normal 85 2" xfId="225" xr:uid="{715FA07B-F630-48C2-947A-BCA87D073604}"/>
    <cellStyle name="Normal 86" xfId="91" xr:uid="{344021F9-F550-4B14-9F33-0B5362ABCBFA}"/>
    <cellStyle name="Normal 86 2" xfId="226" xr:uid="{5AFEA992-77CA-4166-A04C-BA535DCB29F8}"/>
    <cellStyle name="Normal 87" xfId="92" xr:uid="{8D8B3147-AB15-44CA-9DB2-7C723BEF08C0}"/>
    <cellStyle name="Normal 87 2" xfId="227" xr:uid="{2A0EC607-48EE-4B88-8318-5317C8609EF8}"/>
    <cellStyle name="Normal 88" xfId="93" xr:uid="{66558FF2-3C90-4145-9D37-ECE6BD328405}"/>
    <cellStyle name="Normal 88 2" xfId="228" xr:uid="{9CB102D1-3EDB-41A5-9E20-8DDA96866B94}"/>
    <cellStyle name="Normal 89" xfId="94" xr:uid="{47B98809-12CD-4BE1-9C20-ABC0B13CA2E6}"/>
    <cellStyle name="Normal 89 2" xfId="229" xr:uid="{24FDBDA1-6871-451D-A16E-3EB24EC03A8A}"/>
    <cellStyle name="Normal 9" xfId="13" xr:uid="{00000000-0005-0000-0000-00002D000000}"/>
    <cellStyle name="Normal 9 2" xfId="149" xr:uid="{823E3777-3B70-4870-8B1E-A72A93EE4B80}"/>
    <cellStyle name="Normal 90" xfId="95" xr:uid="{1C3321BF-CD05-4ED3-BF06-715B49CBCC1D}"/>
    <cellStyle name="Normal 90 2" xfId="230" xr:uid="{E23EA60A-DE82-4D0D-AF5D-0664E60D76E6}"/>
    <cellStyle name="Normal 91" xfId="96" xr:uid="{82D7C53C-8EA3-4D32-B12F-920F82A9638A}"/>
    <cellStyle name="Normal 91 2" xfId="231" xr:uid="{950596D7-E1F3-4E75-8D28-610A084F3EC3}"/>
    <cellStyle name="Normal 92" xfId="97" xr:uid="{1EAFDB76-654F-4DB0-96D2-5D99FA40F51E}"/>
    <cellStyle name="Normal 92 2" xfId="232" xr:uid="{1AB6D255-692B-49A0-A6ED-A6A286148E8C}"/>
    <cellStyle name="Normal 93" xfId="98" xr:uid="{DC422C3A-C898-4267-87BA-6425EA60CD6C}"/>
    <cellStyle name="Normal 93 2" xfId="233" xr:uid="{95B423C4-90D1-46F4-90BD-C27DE9CD8208}"/>
    <cellStyle name="Normal 94" xfId="99" xr:uid="{79C52258-6D80-4FD2-8059-1B4714E0AFB8}"/>
    <cellStyle name="Normal 94 2" xfId="234" xr:uid="{EC27ADF0-B618-4909-BB67-136798F92395}"/>
    <cellStyle name="Normal 95" xfId="100" xr:uid="{00279B35-CB7A-4F26-822B-0F6B354113FC}"/>
    <cellStyle name="Normal 95 2" xfId="235" xr:uid="{168ADC16-CA86-4FE3-890C-403882767B2A}"/>
    <cellStyle name="Normal 96" xfId="101" xr:uid="{F72C7271-2E3A-439E-A31F-AE20589B03AE}"/>
    <cellStyle name="Normal 97" xfId="102" xr:uid="{C19B93DA-CD60-48DF-920A-FF9F77FCA264}"/>
    <cellStyle name="Normal 98" xfId="103" xr:uid="{3EC2167E-2E05-4E35-B9F2-DF3B8F9F9890}"/>
    <cellStyle name="Normal 99" xfId="104" xr:uid="{81458E38-44E4-40EF-B53E-96653A0D5FAA}"/>
    <cellStyle name="Porcentaje" xfId="7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ESPECTRO ELÁSTICO DE DISEÑO</a:t>
            </a:r>
          </a:p>
        </c:rich>
      </c:tx>
      <c:layout>
        <c:manualLayout>
          <c:xMode val="edge"/>
          <c:yMode val="edge"/>
          <c:x val="0.34371526912429357"/>
          <c:y val="1.95758159486054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998887652947717E-2"/>
          <c:y val="0.12398042414355628"/>
          <c:w val="0.87430478309232451"/>
          <c:h val="0.76345840130505704"/>
        </c:manualLayout>
      </c:layout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'ESPECTRO NSR-10'!$A$2:$A$242</c:f>
              <c:numCache>
                <c:formatCode>0.00</c:formatCode>
                <c:ptCount val="2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7.5000000000000011E-2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0.19999999999999998</c:v>
                </c:pt>
                <c:pt idx="9">
                  <c:v>0.22499999999999998</c:v>
                </c:pt>
                <c:pt idx="10">
                  <c:v>0.24999999999999997</c:v>
                </c:pt>
                <c:pt idx="11">
                  <c:v>0.27499999999999997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0.35000000000000003</c:v>
                </c:pt>
                <c:pt idx="15">
                  <c:v>0.37500000000000006</c:v>
                </c:pt>
                <c:pt idx="16">
                  <c:v>0.40000000000000008</c:v>
                </c:pt>
                <c:pt idx="17">
                  <c:v>0.4250000000000001</c:v>
                </c:pt>
                <c:pt idx="18">
                  <c:v>0.45000000000000012</c:v>
                </c:pt>
                <c:pt idx="19">
                  <c:v>0.47500000000000014</c:v>
                </c:pt>
                <c:pt idx="20">
                  <c:v>0.50000000000000011</c:v>
                </c:pt>
                <c:pt idx="21">
                  <c:v>0.52500000000000013</c:v>
                </c:pt>
                <c:pt idx="22">
                  <c:v>0.55000000000000016</c:v>
                </c:pt>
                <c:pt idx="23">
                  <c:v>0.57500000000000018</c:v>
                </c:pt>
                <c:pt idx="24">
                  <c:v>0.6000000000000002</c:v>
                </c:pt>
                <c:pt idx="25">
                  <c:v>0.62500000000000022</c:v>
                </c:pt>
                <c:pt idx="26">
                  <c:v>0.65000000000000024</c:v>
                </c:pt>
                <c:pt idx="27">
                  <c:v>0.67500000000000027</c:v>
                </c:pt>
                <c:pt idx="28">
                  <c:v>0.70000000000000029</c:v>
                </c:pt>
                <c:pt idx="29">
                  <c:v>0.72500000000000031</c:v>
                </c:pt>
                <c:pt idx="30">
                  <c:v>0.75000000000000033</c:v>
                </c:pt>
                <c:pt idx="31">
                  <c:v>0.77500000000000036</c:v>
                </c:pt>
                <c:pt idx="32">
                  <c:v>0.80000000000000038</c:v>
                </c:pt>
                <c:pt idx="33">
                  <c:v>0.8250000000000004</c:v>
                </c:pt>
                <c:pt idx="34">
                  <c:v>0.85000000000000042</c:v>
                </c:pt>
                <c:pt idx="35">
                  <c:v>0.87500000000000044</c:v>
                </c:pt>
                <c:pt idx="36">
                  <c:v>0.90000000000000047</c:v>
                </c:pt>
                <c:pt idx="37">
                  <c:v>0.92500000000000049</c:v>
                </c:pt>
                <c:pt idx="38">
                  <c:v>0.95000000000000051</c:v>
                </c:pt>
                <c:pt idx="39">
                  <c:v>0.97500000000000053</c:v>
                </c:pt>
                <c:pt idx="40">
                  <c:v>1.0000000000000004</c:v>
                </c:pt>
                <c:pt idx="41">
                  <c:v>1.0250000000000004</c:v>
                </c:pt>
                <c:pt idx="42">
                  <c:v>1.0500000000000003</c:v>
                </c:pt>
                <c:pt idx="43">
                  <c:v>1.0750000000000002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1.1749999999999998</c:v>
                </c:pt>
                <c:pt idx="48">
                  <c:v>1.1999999999999997</c:v>
                </c:pt>
                <c:pt idx="49">
                  <c:v>1.2249999999999996</c:v>
                </c:pt>
                <c:pt idx="50">
                  <c:v>1.2499999999999996</c:v>
                </c:pt>
                <c:pt idx="51">
                  <c:v>1.2749999999999995</c:v>
                </c:pt>
                <c:pt idx="52">
                  <c:v>1.2999999999999994</c:v>
                </c:pt>
                <c:pt idx="53">
                  <c:v>1.3249999999999993</c:v>
                </c:pt>
                <c:pt idx="54">
                  <c:v>1.3499999999999992</c:v>
                </c:pt>
                <c:pt idx="55">
                  <c:v>1.3749999999999991</c:v>
                </c:pt>
                <c:pt idx="56">
                  <c:v>1.399999999999999</c:v>
                </c:pt>
                <c:pt idx="57">
                  <c:v>1.4249999999999989</c:v>
                </c:pt>
                <c:pt idx="58">
                  <c:v>1.4499999999999988</c:v>
                </c:pt>
                <c:pt idx="59">
                  <c:v>1.4749999999999988</c:v>
                </c:pt>
                <c:pt idx="60">
                  <c:v>1.4999999999999987</c:v>
                </c:pt>
                <c:pt idx="61">
                  <c:v>1.5249999999999986</c:v>
                </c:pt>
                <c:pt idx="62">
                  <c:v>1.5499999999999985</c:v>
                </c:pt>
                <c:pt idx="63">
                  <c:v>1.5749999999999984</c:v>
                </c:pt>
                <c:pt idx="64">
                  <c:v>1.5999999999999983</c:v>
                </c:pt>
                <c:pt idx="65">
                  <c:v>1.6249999999999982</c:v>
                </c:pt>
                <c:pt idx="66">
                  <c:v>1.6499999999999981</c:v>
                </c:pt>
                <c:pt idx="67">
                  <c:v>1.674999999999998</c:v>
                </c:pt>
                <c:pt idx="68">
                  <c:v>1.699999999999998</c:v>
                </c:pt>
                <c:pt idx="69">
                  <c:v>1.7249999999999979</c:v>
                </c:pt>
                <c:pt idx="70">
                  <c:v>1.7499999999999978</c:v>
                </c:pt>
                <c:pt idx="71">
                  <c:v>1.7749999999999977</c:v>
                </c:pt>
                <c:pt idx="72">
                  <c:v>1.7999999999999976</c:v>
                </c:pt>
                <c:pt idx="73">
                  <c:v>1.8249999999999975</c:v>
                </c:pt>
                <c:pt idx="74">
                  <c:v>1.8499999999999974</c:v>
                </c:pt>
                <c:pt idx="75">
                  <c:v>1.8749999999999973</c:v>
                </c:pt>
                <c:pt idx="76">
                  <c:v>1.8999999999999972</c:v>
                </c:pt>
                <c:pt idx="77">
                  <c:v>1.9249999999999972</c:v>
                </c:pt>
                <c:pt idx="78">
                  <c:v>1.9499999999999971</c:v>
                </c:pt>
                <c:pt idx="79">
                  <c:v>1.974999999999997</c:v>
                </c:pt>
                <c:pt idx="80">
                  <c:v>1.9999999999999969</c:v>
                </c:pt>
                <c:pt idx="81">
                  <c:v>2.0249999999999968</c:v>
                </c:pt>
                <c:pt idx="82">
                  <c:v>2.0499999999999967</c:v>
                </c:pt>
                <c:pt idx="83">
                  <c:v>2.0749999999999966</c:v>
                </c:pt>
                <c:pt idx="84">
                  <c:v>2.0999999999999965</c:v>
                </c:pt>
                <c:pt idx="85">
                  <c:v>2.1249999999999964</c:v>
                </c:pt>
                <c:pt idx="86">
                  <c:v>2.1499999999999964</c:v>
                </c:pt>
                <c:pt idx="87">
                  <c:v>2.1749999999999963</c:v>
                </c:pt>
                <c:pt idx="88">
                  <c:v>2.1999999999999962</c:v>
                </c:pt>
                <c:pt idx="89">
                  <c:v>2.2249999999999961</c:v>
                </c:pt>
                <c:pt idx="90">
                  <c:v>2.249999999999996</c:v>
                </c:pt>
                <c:pt idx="91">
                  <c:v>2.2749999999999959</c:v>
                </c:pt>
                <c:pt idx="92">
                  <c:v>2.2999999999999958</c:v>
                </c:pt>
                <c:pt idx="93">
                  <c:v>2.3249999999999957</c:v>
                </c:pt>
                <c:pt idx="94">
                  <c:v>2.3499999999999956</c:v>
                </c:pt>
                <c:pt idx="95">
                  <c:v>2.3749999999999956</c:v>
                </c:pt>
                <c:pt idx="96">
                  <c:v>2.3999999999999955</c:v>
                </c:pt>
                <c:pt idx="97">
                  <c:v>2.4249999999999954</c:v>
                </c:pt>
                <c:pt idx="98">
                  <c:v>2.4499999999999953</c:v>
                </c:pt>
                <c:pt idx="99">
                  <c:v>2.4749999999999952</c:v>
                </c:pt>
                <c:pt idx="100">
                  <c:v>2.4999999999999951</c:v>
                </c:pt>
                <c:pt idx="101">
                  <c:v>2.524999999999995</c:v>
                </c:pt>
                <c:pt idx="102">
                  <c:v>2.5499999999999949</c:v>
                </c:pt>
                <c:pt idx="103">
                  <c:v>2.5749999999999948</c:v>
                </c:pt>
                <c:pt idx="104">
                  <c:v>2.5999999999999948</c:v>
                </c:pt>
                <c:pt idx="105">
                  <c:v>2.6249999999999947</c:v>
                </c:pt>
                <c:pt idx="106">
                  <c:v>2.6499999999999946</c:v>
                </c:pt>
                <c:pt idx="107">
                  <c:v>2.6749999999999945</c:v>
                </c:pt>
                <c:pt idx="108">
                  <c:v>2.6999999999999944</c:v>
                </c:pt>
                <c:pt idx="109">
                  <c:v>2.7249999999999943</c:v>
                </c:pt>
                <c:pt idx="110">
                  <c:v>2.7499999999999942</c:v>
                </c:pt>
                <c:pt idx="111">
                  <c:v>2.7749999999999941</c:v>
                </c:pt>
                <c:pt idx="112">
                  <c:v>2.799999999999994</c:v>
                </c:pt>
                <c:pt idx="113">
                  <c:v>2.824999999999994</c:v>
                </c:pt>
                <c:pt idx="114">
                  <c:v>2.8499999999999939</c:v>
                </c:pt>
                <c:pt idx="115">
                  <c:v>2.8749999999999938</c:v>
                </c:pt>
                <c:pt idx="116">
                  <c:v>2.8999999999999937</c:v>
                </c:pt>
                <c:pt idx="117">
                  <c:v>2.9249999999999936</c:v>
                </c:pt>
                <c:pt idx="118">
                  <c:v>2.9499999999999935</c:v>
                </c:pt>
                <c:pt idx="119">
                  <c:v>2.9749999999999934</c:v>
                </c:pt>
                <c:pt idx="120">
                  <c:v>2.9999999999999933</c:v>
                </c:pt>
                <c:pt idx="121">
                  <c:v>3.0249999999999932</c:v>
                </c:pt>
                <c:pt idx="122">
                  <c:v>3.0499999999999932</c:v>
                </c:pt>
                <c:pt idx="123">
                  <c:v>3.0749999999999931</c:v>
                </c:pt>
                <c:pt idx="124">
                  <c:v>3.099999999999993</c:v>
                </c:pt>
                <c:pt idx="125">
                  <c:v>3.1249999999999929</c:v>
                </c:pt>
                <c:pt idx="126">
                  <c:v>3.1499999999999928</c:v>
                </c:pt>
                <c:pt idx="127">
                  <c:v>3.1749999999999927</c:v>
                </c:pt>
                <c:pt idx="128">
                  <c:v>3.1999999999999926</c:v>
                </c:pt>
                <c:pt idx="129">
                  <c:v>3.2249999999999925</c:v>
                </c:pt>
                <c:pt idx="130">
                  <c:v>3.2499999999999925</c:v>
                </c:pt>
                <c:pt idx="131">
                  <c:v>3.2749999999999924</c:v>
                </c:pt>
                <c:pt idx="132">
                  <c:v>3.2999999999999923</c:v>
                </c:pt>
                <c:pt idx="133">
                  <c:v>3.3249999999999922</c:v>
                </c:pt>
                <c:pt idx="134">
                  <c:v>3.3499999999999921</c:v>
                </c:pt>
                <c:pt idx="135">
                  <c:v>3.374999999999992</c:v>
                </c:pt>
                <c:pt idx="136">
                  <c:v>3.3999999999999919</c:v>
                </c:pt>
                <c:pt idx="137">
                  <c:v>3.4249999999999918</c:v>
                </c:pt>
                <c:pt idx="138">
                  <c:v>3.4499999999999917</c:v>
                </c:pt>
                <c:pt idx="139">
                  <c:v>3.4749999999999917</c:v>
                </c:pt>
                <c:pt idx="140">
                  <c:v>3.4999999999999916</c:v>
                </c:pt>
                <c:pt idx="141">
                  <c:v>3.5249999999999915</c:v>
                </c:pt>
                <c:pt idx="142">
                  <c:v>3.5499999999999914</c:v>
                </c:pt>
                <c:pt idx="143">
                  <c:v>3.5749999999999913</c:v>
                </c:pt>
                <c:pt idx="144">
                  <c:v>3.5999999999999912</c:v>
                </c:pt>
                <c:pt idx="145">
                  <c:v>3.6249999999999911</c:v>
                </c:pt>
                <c:pt idx="146">
                  <c:v>3.649999999999991</c:v>
                </c:pt>
                <c:pt idx="147">
                  <c:v>3.6749999999999909</c:v>
                </c:pt>
                <c:pt idx="148">
                  <c:v>3.6999999999999909</c:v>
                </c:pt>
                <c:pt idx="149">
                  <c:v>3.7249999999999908</c:v>
                </c:pt>
                <c:pt idx="150">
                  <c:v>3.7499999999999907</c:v>
                </c:pt>
                <c:pt idx="151">
                  <c:v>3.7749999999999906</c:v>
                </c:pt>
                <c:pt idx="152">
                  <c:v>3.7999999999999905</c:v>
                </c:pt>
                <c:pt idx="153">
                  <c:v>3.8249999999999904</c:v>
                </c:pt>
                <c:pt idx="154">
                  <c:v>3.8499999999999903</c:v>
                </c:pt>
                <c:pt idx="155">
                  <c:v>3.8749999999999902</c:v>
                </c:pt>
                <c:pt idx="156">
                  <c:v>3.8999999999999901</c:v>
                </c:pt>
                <c:pt idx="157">
                  <c:v>3.9249999999999901</c:v>
                </c:pt>
                <c:pt idx="158">
                  <c:v>3.94999999999999</c:v>
                </c:pt>
                <c:pt idx="159">
                  <c:v>3.9749999999999899</c:v>
                </c:pt>
                <c:pt idx="160">
                  <c:v>3.9999999999999898</c:v>
                </c:pt>
                <c:pt idx="161">
                  <c:v>4.0249999999999897</c:v>
                </c:pt>
                <c:pt idx="162">
                  <c:v>4.0499999999999901</c:v>
                </c:pt>
                <c:pt idx="163">
                  <c:v>4.0749999999999904</c:v>
                </c:pt>
                <c:pt idx="164">
                  <c:v>4.0999999999999908</c:v>
                </c:pt>
                <c:pt idx="165">
                  <c:v>4.1249999999999911</c:v>
                </c:pt>
                <c:pt idx="166">
                  <c:v>4.1499999999999915</c:v>
                </c:pt>
                <c:pt idx="167">
                  <c:v>4.1749999999999918</c:v>
                </c:pt>
                <c:pt idx="168">
                  <c:v>4.1999999999999922</c:v>
                </c:pt>
                <c:pt idx="169">
                  <c:v>4.2249999999999925</c:v>
                </c:pt>
                <c:pt idx="170">
                  <c:v>4.2499999999999929</c:v>
                </c:pt>
                <c:pt idx="171">
                  <c:v>4.2749999999999932</c:v>
                </c:pt>
                <c:pt idx="172">
                  <c:v>4.2999999999999936</c:v>
                </c:pt>
                <c:pt idx="173">
                  <c:v>4.324999999999994</c:v>
                </c:pt>
                <c:pt idx="174">
                  <c:v>4.3499999999999943</c:v>
                </c:pt>
                <c:pt idx="175">
                  <c:v>4.3749999999999947</c:v>
                </c:pt>
                <c:pt idx="176">
                  <c:v>4.399999999999995</c:v>
                </c:pt>
                <c:pt idx="177">
                  <c:v>4.4249999999999954</c:v>
                </c:pt>
                <c:pt idx="178">
                  <c:v>4.4499999999999957</c:v>
                </c:pt>
                <c:pt idx="179">
                  <c:v>4.4749999999999961</c:v>
                </c:pt>
                <c:pt idx="180">
                  <c:v>4.4999999999999964</c:v>
                </c:pt>
                <c:pt idx="181">
                  <c:v>4.5249999999999968</c:v>
                </c:pt>
                <c:pt idx="182">
                  <c:v>4.5499999999999972</c:v>
                </c:pt>
                <c:pt idx="183">
                  <c:v>4.5749999999999975</c:v>
                </c:pt>
                <c:pt idx="184">
                  <c:v>4.5999999999999979</c:v>
                </c:pt>
                <c:pt idx="185">
                  <c:v>4.6249999999999982</c:v>
                </c:pt>
                <c:pt idx="186">
                  <c:v>4.6499999999999986</c:v>
                </c:pt>
                <c:pt idx="187">
                  <c:v>4.6749999999999989</c:v>
                </c:pt>
                <c:pt idx="188">
                  <c:v>4.6999999999999993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4.8000000000000007</c:v>
                </c:pt>
                <c:pt idx="193">
                  <c:v>4.8250000000000011</c:v>
                </c:pt>
                <c:pt idx="194">
                  <c:v>4.8500000000000014</c:v>
                </c:pt>
                <c:pt idx="195">
                  <c:v>4.8750000000000018</c:v>
                </c:pt>
                <c:pt idx="196">
                  <c:v>4.9000000000000021</c:v>
                </c:pt>
                <c:pt idx="197">
                  <c:v>4.9250000000000025</c:v>
                </c:pt>
                <c:pt idx="198">
                  <c:v>4.9500000000000028</c:v>
                </c:pt>
                <c:pt idx="199">
                  <c:v>4.9750000000000032</c:v>
                </c:pt>
                <c:pt idx="200">
                  <c:v>5.0000000000000036</c:v>
                </c:pt>
                <c:pt idx="201">
                  <c:v>5.0250000000000039</c:v>
                </c:pt>
                <c:pt idx="202">
                  <c:v>5.0500000000000043</c:v>
                </c:pt>
                <c:pt idx="203">
                  <c:v>5.0750000000000046</c:v>
                </c:pt>
                <c:pt idx="204">
                  <c:v>5.100000000000005</c:v>
                </c:pt>
                <c:pt idx="205">
                  <c:v>5.1250000000000053</c:v>
                </c:pt>
                <c:pt idx="206">
                  <c:v>5.1500000000000057</c:v>
                </c:pt>
                <c:pt idx="207">
                  <c:v>5.175000000000006</c:v>
                </c:pt>
                <c:pt idx="208">
                  <c:v>5.2000000000000064</c:v>
                </c:pt>
                <c:pt idx="209">
                  <c:v>5.2250000000000068</c:v>
                </c:pt>
                <c:pt idx="210">
                  <c:v>5.2500000000000071</c:v>
                </c:pt>
                <c:pt idx="211">
                  <c:v>5.2750000000000075</c:v>
                </c:pt>
                <c:pt idx="212">
                  <c:v>5.3000000000000078</c:v>
                </c:pt>
                <c:pt idx="213">
                  <c:v>5.3250000000000082</c:v>
                </c:pt>
                <c:pt idx="214">
                  <c:v>5.3500000000000085</c:v>
                </c:pt>
                <c:pt idx="215">
                  <c:v>5.3750000000000089</c:v>
                </c:pt>
                <c:pt idx="216">
                  <c:v>5.4000000000000092</c:v>
                </c:pt>
                <c:pt idx="217">
                  <c:v>5.4250000000000096</c:v>
                </c:pt>
                <c:pt idx="218">
                  <c:v>5.4500000000000099</c:v>
                </c:pt>
                <c:pt idx="219">
                  <c:v>5.4750000000000103</c:v>
                </c:pt>
                <c:pt idx="220">
                  <c:v>5.5000000000000107</c:v>
                </c:pt>
                <c:pt idx="221">
                  <c:v>5.525000000000011</c:v>
                </c:pt>
                <c:pt idx="222">
                  <c:v>5.5500000000000114</c:v>
                </c:pt>
                <c:pt idx="223">
                  <c:v>5.5750000000000117</c:v>
                </c:pt>
                <c:pt idx="224">
                  <c:v>5.6000000000000121</c:v>
                </c:pt>
                <c:pt idx="225">
                  <c:v>5.6250000000000124</c:v>
                </c:pt>
                <c:pt idx="226">
                  <c:v>5.6500000000000128</c:v>
                </c:pt>
                <c:pt idx="227">
                  <c:v>5.6750000000000131</c:v>
                </c:pt>
                <c:pt idx="228">
                  <c:v>5.7000000000000135</c:v>
                </c:pt>
                <c:pt idx="229">
                  <c:v>5.7250000000000139</c:v>
                </c:pt>
                <c:pt idx="230">
                  <c:v>5.7500000000000142</c:v>
                </c:pt>
                <c:pt idx="231">
                  <c:v>5.7750000000000146</c:v>
                </c:pt>
                <c:pt idx="232">
                  <c:v>5.8000000000000149</c:v>
                </c:pt>
                <c:pt idx="233">
                  <c:v>5.8250000000000153</c:v>
                </c:pt>
                <c:pt idx="234">
                  <c:v>5.8500000000000156</c:v>
                </c:pt>
                <c:pt idx="235">
                  <c:v>5.875000000000016</c:v>
                </c:pt>
                <c:pt idx="236">
                  <c:v>5.9000000000000163</c:v>
                </c:pt>
                <c:pt idx="237">
                  <c:v>5.9250000000000167</c:v>
                </c:pt>
                <c:pt idx="238">
                  <c:v>5.9500000000000171</c:v>
                </c:pt>
                <c:pt idx="239">
                  <c:v>5.9750000000000174</c:v>
                </c:pt>
                <c:pt idx="240">
                  <c:v>6.0000000000000178</c:v>
                </c:pt>
              </c:numCache>
            </c:numRef>
          </c:xVal>
          <c:yVal>
            <c:numRef>
              <c:f>'ESPECTRO NSR-10'!$B$2:$B$242</c:f>
              <c:numCache>
                <c:formatCode>0.0000</c:formatCode>
                <c:ptCount val="241"/>
                <c:pt idx="0">
                  <c:v>0.89999999999999991</c:v>
                </c:pt>
                <c:pt idx="1">
                  <c:v>0.89999999999999991</c:v>
                </c:pt>
                <c:pt idx="2">
                  <c:v>0.89999999999999991</c:v>
                </c:pt>
                <c:pt idx="3">
                  <c:v>0.89999999999999991</c:v>
                </c:pt>
                <c:pt idx="4">
                  <c:v>0.89999999999999991</c:v>
                </c:pt>
                <c:pt idx="5">
                  <c:v>0.89999999999999991</c:v>
                </c:pt>
                <c:pt idx="6">
                  <c:v>0.89999999999999991</c:v>
                </c:pt>
                <c:pt idx="7">
                  <c:v>0.89999999999999991</c:v>
                </c:pt>
                <c:pt idx="8">
                  <c:v>0.89999999999999991</c:v>
                </c:pt>
                <c:pt idx="9">
                  <c:v>0.89999999999999991</c:v>
                </c:pt>
                <c:pt idx="10">
                  <c:v>0.89999999999999991</c:v>
                </c:pt>
                <c:pt idx="11">
                  <c:v>0.89999999999999991</c:v>
                </c:pt>
                <c:pt idx="12">
                  <c:v>0.89999999999999991</c:v>
                </c:pt>
                <c:pt idx="13">
                  <c:v>0.89999999999999991</c:v>
                </c:pt>
                <c:pt idx="14">
                  <c:v>0.89999999999999991</c:v>
                </c:pt>
                <c:pt idx="15">
                  <c:v>0.89999999999999991</c:v>
                </c:pt>
                <c:pt idx="16">
                  <c:v>0.89999999999999991</c:v>
                </c:pt>
                <c:pt idx="17">
                  <c:v>0.89999999999999991</c:v>
                </c:pt>
                <c:pt idx="18">
                  <c:v>0.89999999999999991</c:v>
                </c:pt>
                <c:pt idx="19">
                  <c:v>0.89999999999999991</c:v>
                </c:pt>
                <c:pt idx="20">
                  <c:v>0.89999999999999991</c:v>
                </c:pt>
                <c:pt idx="21">
                  <c:v>0.89999999999999991</c:v>
                </c:pt>
                <c:pt idx="22">
                  <c:v>0.89999999999999991</c:v>
                </c:pt>
                <c:pt idx="23">
                  <c:v>0.89999999999999991</c:v>
                </c:pt>
                <c:pt idx="24">
                  <c:v>0.89999999999999991</c:v>
                </c:pt>
                <c:pt idx="25">
                  <c:v>0.89999999999999991</c:v>
                </c:pt>
                <c:pt idx="26">
                  <c:v>0.89999999999999991</c:v>
                </c:pt>
                <c:pt idx="27">
                  <c:v>0.89999999999999991</c:v>
                </c:pt>
                <c:pt idx="28">
                  <c:v>0.89999999999999991</c:v>
                </c:pt>
                <c:pt idx="29">
                  <c:v>0.89999999999999991</c:v>
                </c:pt>
                <c:pt idx="30">
                  <c:v>0.89999999999999991</c:v>
                </c:pt>
                <c:pt idx="31">
                  <c:v>0.89999999999999991</c:v>
                </c:pt>
                <c:pt idx="32">
                  <c:v>0.89999999999999991</c:v>
                </c:pt>
                <c:pt idx="33">
                  <c:v>0.87272727272727224</c:v>
                </c:pt>
                <c:pt idx="34">
                  <c:v>0.84705882352941131</c:v>
                </c:pt>
                <c:pt idx="35">
                  <c:v>0.8228571428571424</c:v>
                </c:pt>
                <c:pt idx="36">
                  <c:v>0.7999999999999996</c:v>
                </c:pt>
                <c:pt idx="37">
                  <c:v>0.77837837837837798</c:v>
                </c:pt>
                <c:pt idx="38">
                  <c:v>0.75789473684210484</c:v>
                </c:pt>
                <c:pt idx="39">
                  <c:v>0.73846153846153806</c:v>
                </c:pt>
                <c:pt idx="40">
                  <c:v>0.71999999999999964</c:v>
                </c:pt>
                <c:pt idx="41">
                  <c:v>0.70243902439024364</c:v>
                </c:pt>
                <c:pt idx="42">
                  <c:v>0.6857142857142855</c:v>
                </c:pt>
                <c:pt idx="43">
                  <c:v>0.669767441860465</c:v>
                </c:pt>
                <c:pt idx="44">
                  <c:v>0.65454545454545443</c:v>
                </c:pt>
                <c:pt idx="45">
                  <c:v>0.64</c:v>
                </c:pt>
                <c:pt idx="46">
                  <c:v>0.62608695652173918</c:v>
                </c:pt>
                <c:pt idx="47">
                  <c:v>0.61276595744680862</c:v>
                </c:pt>
                <c:pt idx="48">
                  <c:v>0.60000000000000009</c:v>
                </c:pt>
                <c:pt idx="49">
                  <c:v>0.58775510204081649</c:v>
                </c:pt>
                <c:pt idx="50">
                  <c:v>0.57600000000000018</c:v>
                </c:pt>
                <c:pt idx="51">
                  <c:v>0.56470588235294139</c:v>
                </c:pt>
                <c:pt idx="52">
                  <c:v>0.5538461538461541</c:v>
                </c:pt>
                <c:pt idx="53">
                  <c:v>0.54339622641509466</c:v>
                </c:pt>
                <c:pt idx="54">
                  <c:v>0.53333333333333366</c:v>
                </c:pt>
                <c:pt idx="55">
                  <c:v>0.52363636363636401</c:v>
                </c:pt>
                <c:pt idx="56">
                  <c:v>0.51428571428571468</c:v>
                </c:pt>
                <c:pt idx="57">
                  <c:v>0.50526315789473719</c:v>
                </c:pt>
                <c:pt idx="58">
                  <c:v>0.49655172413793142</c:v>
                </c:pt>
                <c:pt idx="59">
                  <c:v>0.48813559322033939</c:v>
                </c:pt>
                <c:pt idx="60">
                  <c:v>0.48000000000000043</c:v>
                </c:pt>
                <c:pt idx="61">
                  <c:v>0.47213114754098401</c:v>
                </c:pt>
                <c:pt idx="62">
                  <c:v>0.46451612903225847</c:v>
                </c:pt>
                <c:pt idx="63">
                  <c:v>0.45714285714285757</c:v>
                </c:pt>
                <c:pt idx="64">
                  <c:v>0.45000000000000046</c:v>
                </c:pt>
                <c:pt idx="65">
                  <c:v>0.44307692307692353</c:v>
                </c:pt>
                <c:pt idx="66">
                  <c:v>0.43636363636363684</c:v>
                </c:pt>
                <c:pt idx="67">
                  <c:v>0.42985074626865721</c:v>
                </c:pt>
                <c:pt idx="68">
                  <c:v>0.42352941176470638</c:v>
                </c:pt>
                <c:pt idx="69">
                  <c:v>0.41739130434782656</c:v>
                </c:pt>
                <c:pt idx="70">
                  <c:v>0.41142857142857192</c:v>
                </c:pt>
                <c:pt idx="71">
                  <c:v>0.40563380281690192</c:v>
                </c:pt>
                <c:pt idx="72">
                  <c:v>0.40000000000000052</c:v>
                </c:pt>
                <c:pt idx="73">
                  <c:v>0.39452054794520602</c:v>
                </c:pt>
                <c:pt idx="74">
                  <c:v>0.38918918918918971</c:v>
                </c:pt>
                <c:pt idx="75">
                  <c:v>0.38400000000000051</c:v>
                </c:pt>
                <c:pt idx="76">
                  <c:v>0.37894736842105314</c:v>
                </c:pt>
                <c:pt idx="77">
                  <c:v>0.37402597402597454</c:v>
                </c:pt>
                <c:pt idx="78">
                  <c:v>0.36923076923076975</c:v>
                </c:pt>
                <c:pt idx="79">
                  <c:v>0.36455696202531701</c:v>
                </c:pt>
                <c:pt idx="80">
                  <c:v>0.36000000000000054</c:v>
                </c:pt>
                <c:pt idx="81">
                  <c:v>0.35555555555555612</c:v>
                </c:pt>
                <c:pt idx="82">
                  <c:v>0.35121951219512249</c:v>
                </c:pt>
                <c:pt idx="83">
                  <c:v>0.34698795180722947</c:v>
                </c:pt>
                <c:pt idx="84">
                  <c:v>0.34285714285714342</c:v>
                </c:pt>
                <c:pt idx="85">
                  <c:v>0.33882352941176525</c:v>
                </c:pt>
                <c:pt idx="86">
                  <c:v>0.33488372093023311</c:v>
                </c:pt>
                <c:pt idx="87">
                  <c:v>0.33103448275862124</c:v>
                </c:pt>
                <c:pt idx="88">
                  <c:v>0.32727272727272783</c:v>
                </c:pt>
                <c:pt idx="89">
                  <c:v>0.32359550561797806</c:v>
                </c:pt>
                <c:pt idx="90">
                  <c:v>0.32000000000000056</c:v>
                </c:pt>
                <c:pt idx="91">
                  <c:v>0.31648351648351702</c:v>
                </c:pt>
                <c:pt idx="92">
                  <c:v>0.31304347826087014</c:v>
                </c:pt>
                <c:pt idx="93">
                  <c:v>0.30967741935483928</c:v>
                </c:pt>
                <c:pt idx="94">
                  <c:v>0.30638297872340481</c:v>
                </c:pt>
                <c:pt idx="95">
                  <c:v>0.30315789473684268</c:v>
                </c:pt>
                <c:pt idx="96">
                  <c:v>0.30000000000000054</c:v>
                </c:pt>
                <c:pt idx="97">
                  <c:v>0.29690721649484592</c:v>
                </c:pt>
                <c:pt idx="98">
                  <c:v>0.29387755102040869</c:v>
                </c:pt>
                <c:pt idx="99">
                  <c:v>0.29090909090909145</c:v>
                </c:pt>
                <c:pt idx="100">
                  <c:v>0.28800000000000053</c:v>
                </c:pt>
                <c:pt idx="101">
                  <c:v>0.28514851485148568</c:v>
                </c:pt>
                <c:pt idx="102">
                  <c:v>0.28235294117647114</c:v>
                </c:pt>
                <c:pt idx="103">
                  <c:v>0.27961165048543746</c:v>
                </c:pt>
                <c:pt idx="104">
                  <c:v>0.27692307692307749</c:v>
                </c:pt>
                <c:pt idx="105">
                  <c:v>0.27428571428571485</c:v>
                </c:pt>
                <c:pt idx="106">
                  <c:v>0.27169811320754772</c:v>
                </c:pt>
                <c:pt idx="107">
                  <c:v>0.26915887850467346</c:v>
                </c:pt>
                <c:pt idx="108">
                  <c:v>0.26666666666666722</c:v>
                </c:pt>
                <c:pt idx="109">
                  <c:v>0.26422018348623905</c:v>
                </c:pt>
                <c:pt idx="110">
                  <c:v>0.26181818181818234</c:v>
                </c:pt>
                <c:pt idx="111">
                  <c:v>0.25945945945945997</c:v>
                </c:pt>
                <c:pt idx="112">
                  <c:v>0.25714285714285767</c:v>
                </c:pt>
                <c:pt idx="113">
                  <c:v>0.25486725663716869</c:v>
                </c:pt>
                <c:pt idx="114">
                  <c:v>0.25263157894736893</c:v>
                </c:pt>
                <c:pt idx="115">
                  <c:v>0.25043478260869617</c:v>
                </c:pt>
                <c:pt idx="116">
                  <c:v>0.24827586206896604</c:v>
                </c:pt>
                <c:pt idx="117">
                  <c:v>0.24615384615384669</c:v>
                </c:pt>
                <c:pt idx="118">
                  <c:v>0.24406779661017003</c:v>
                </c:pt>
                <c:pt idx="119">
                  <c:v>0.2420168067226896</c:v>
                </c:pt>
                <c:pt idx="120">
                  <c:v>0.24000000000000052</c:v>
                </c:pt>
                <c:pt idx="121">
                  <c:v>0.23801652892562036</c:v>
                </c:pt>
                <c:pt idx="122">
                  <c:v>0.23606557377049234</c:v>
                </c:pt>
                <c:pt idx="123">
                  <c:v>0.23414634146341515</c:v>
                </c:pt>
                <c:pt idx="124">
                  <c:v>0.23225806451612954</c:v>
                </c:pt>
                <c:pt idx="125">
                  <c:v>0.23040000000000052</c:v>
                </c:pt>
                <c:pt idx="126">
                  <c:v>0.22857142857142909</c:v>
                </c:pt>
                <c:pt idx="127">
                  <c:v>0.22677165354330761</c:v>
                </c:pt>
                <c:pt idx="128">
                  <c:v>0.22500000000000051</c:v>
                </c:pt>
                <c:pt idx="129">
                  <c:v>0.22325581395348887</c:v>
                </c:pt>
                <c:pt idx="130">
                  <c:v>0.22153846153846204</c:v>
                </c:pt>
                <c:pt idx="131">
                  <c:v>0.2198473282442753</c:v>
                </c:pt>
                <c:pt idx="132">
                  <c:v>0.21818181818181867</c:v>
                </c:pt>
                <c:pt idx="133">
                  <c:v>0.21654135338345915</c:v>
                </c:pt>
                <c:pt idx="134">
                  <c:v>0.21492537313432886</c:v>
                </c:pt>
                <c:pt idx="135">
                  <c:v>0.21333333333333382</c:v>
                </c:pt>
                <c:pt idx="136">
                  <c:v>0.21176470588235344</c:v>
                </c:pt>
                <c:pt idx="137">
                  <c:v>0.21021897810219028</c:v>
                </c:pt>
                <c:pt idx="138">
                  <c:v>0.20869565217391353</c:v>
                </c:pt>
                <c:pt idx="139">
                  <c:v>0.20719424460431704</c:v>
                </c:pt>
                <c:pt idx="140">
                  <c:v>0.20571428571428621</c:v>
                </c:pt>
                <c:pt idx="141">
                  <c:v>0.20425531914893666</c:v>
                </c:pt>
                <c:pt idx="142">
                  <c:v>0.20281690140845118</c:v>
                </c:pt>
                <c:pt idx="143">
                  <c:v>0.20139860139860188</c:v>
                </c:pt>
                <c:pt idx="144">
                  <c:v>0.20000000000000048</c:v>
                </c:pt>
                <c:pt idx="145">
                  <c:v>0.19862068965517291</c:v>
                </c:pt>
                <c:pt idx="146">
                  <c:v>0.19726027397260321</c:v>
                </c:pt>
                <c:pt idx="147">
                  <c:v>0.19591836734693927</c:v>
                </c:pt>
                <c:pt idx="148">
                  <c:v>0.19459459459459508</c:v>
                </c:pt>
                <c:pt idx="149">
                  <c:v>0.19328859060402731</c:v>
                </c:pt>
                <c:pt idx="150">
                  <c:v>0.19200000000000048</c:v>
                </c:pt>
                <c:pt idx="151">
                  <c:v>0.19072847682119251</c:v>
                </c:pt>
                <c:pt idx="152">
                  <c:v>0.18947368421052679</c:v>
                </c:pt>
                <c:pt idx="153">
                  <c:v>0.18823529411764753</c:v>
                </c:pt>
                <c:pt idx="154">
                  <c:v>0.18701298701298746</c:v>
                </c:pt>
                <c:pt idx="155">
                  <c:v>0.18580645161290368</c:v>
                </c:pt>
                <c:pt idx="156">
                  <c:v>0.18461538461538507</c:v>
                </c:pt>
                <c:pt idx="157">
                  <c:v>0.18343949044586033</c:v>
                </c:pt>
                <c:pt idx="158">
                  <c:v>0.18227848101265867</c:v>
                </c:pt>
                <c:pt idx="159">
                  <c:v>0.18113207547169857</c:v>
                </c:pt>
                <c:pt idx="160">
                  <c:v>0.18000000000000047</c:v>
                </c:pt>
                <c:pt idx="161">
                  <c:v>0.17888198757764021</c:v>
                </c:pt>
                <c:pt idx="162">
                  <c:v>0.1777777777777782</c:v>
                </c:pt>
                <c:pt idx="163">
                  <c:v>0.1766871165644176</c:v>
                </c:pt>
                <c:pt idx="164">
                  <c:v>0.17560975609756135</c:v>
                </c:pt>
                <c:pt idx="165">
                  <c:v>0.17454545454545492</c:v>
                </c:pt>
                <c:pt idx="166">
                  <c:v>0.17349397590361482</c:v>
                </c:pt>
                <c:pt idx="167">
                  <c:v>0.17245508982035962</c:v>
                </c:pt>
                <c:pt idx="168">
                  <c:v>0.17142857142857174</c:v>
                </c:pt>
                <c:pt idx="169">
                  <c:v>0.17041420118343226</c:v>
                </c:pt>
                <c:pt idx="170">
                  <c:v>0.16941176470588262</c:v>
                </c:pt>
                <c:pt idx="171">
                  <c:v>0.16842105263157919</c:v>
                </c:pt>
                <c:pt idx="172">
                  <c:v>0.16744186046511653</c:v>
                </c:pt>
                <c:pt idx="173">
                  <c:v>0.16647398843930658</c:v>
                </c:pt>
                <c:pt idx="174">
                  <c:v>0.16551724137931056</c:v>
                </c:pt>
                <c:pt idx="175">
                  <c:v>0.16457142857142876</c:v>
                </c:pt>
                <c:pt idx="176">
                  <c:v>0.1636363636363638</c:v>
                </c:pt>
                <c:pt idx="177">
                  <c:v>0.16271186440677982</c:v>
                </c:pt>
                <c:pt idx="178">
                  <c:v>0.16179775280898892</c:v>
                </c:pt>
                <c:pt idx="179">
                  <c:v>0.16089385474860349</c:v>
                </c:pt>
                <c:pt idx="180">
                  <c:v>0.16000000000000011</c:v>
                </c:pt>
                <c:pt idx="181">
                  <c:v>0.15911602209944761</c:v>
                </c:pt>
                <c:pt idx="182">
                  <c:v>0.15824175824175835</c:v>
                </c:pt>
                <c:pt idx="183">
                  <c:v>0.15737704918032794</c:v>
                </c:pt>
                <c:pt idx="184">
                  <c:v>0.15652173913043485</c:v>
                </c:pt>
                <c:pt idx="185">
                  <c:v>0.15567567567567572</c:v>
                </c:pt>
                <c:pt idx="186">
                  <c:v>0.15483870967741939</c:v>
                </c:pt>
                <c:pt idx="187">
                  <c:v>0.15401069518716581</c:v>
                </c:pt>
                <c:pt idx="188">
                  <c:v>0.15319148936170215</c:v>
                </c:pt>
                <c:pt idx="189">
                  <c:v>0.15238095238095239</c:v>
                </c:pt>
                <c:pt idx="190">
                  <c:v>0.15157894736842104</c:v>
                </c:pt>
                <c:pt idx="191">
                  <c:v>0.1507853403141361</c:v>
                </c:pt>
                <c:pt idx="192">
                  <c:v>0.14999999999999997</c:v>
                </c:pt>
                <c:pt idx="193">
                  <c:v>0.1492227979274611</c:v>
                </c:pt>
                <c:pt idx="194">
                  <c:v>0.14845360824742262</c:v>
                </c:pt>
                <c:pt idx="195">
                  <c:v>0.14769230769230762</c:v>
                </c:pt>
                <c:pt idx="196">
                  <c:v>0.14693877551020401</c:v>
                </c:pt>
                <c:pt idx="197">
                  <c:v>0.14619289340101516</c:v>
                </c:pt>
                <c:pt idx="198">
                  <c:v>0.14545454545454536</c:v>
                </c:pt>
                <c:pt idx="199">
                  <c:v>0.14472361809045217</c:v>
                </c:pt>
                <c:pt idx="200">
                  <c:v>0.14399999999999991</c:v>
                </c:pt>
                <c:pt idx="201">
                  <c:v>0.14328358208955211</c:v>
                </c:pt>
                <c:pt idx="202">
                  <c:v>0.14257425742574245</c:v>
                </c:pt>
                <c:pt idx="203">
                  <c:v>0.14187192118226588</c:v>
                </c:pt>
                <c:pt idx="204">
                  <c:v>0.14117647058823515</c:v>
                </c:pt>
                <c:pt idx="205">
                  <c:v>0.14048780487804863</c:v>
                </c:pt>
                <c:pt idx="206">
                  <c:v>0.13980582524271828</c:v>
                </c:pt>
                <c:pt idx="207">
                  <c:v>0.13913043478260853</c:v>
                </c:pt>
                <c:pt idx="208">
                  <c:v>0.13846153846153827</c:v>
                </c:pt>
                <c:pt idx="209">
                  <c:v>0.13779904306220078</c:v>
                </c:pt>
                <c:pt idx="210">
                  <c:v>0.13714285714285696</c:v>
                </c:pt>
                <c:pt idx="211">
                  <c:v>0.13649289099526046</c:v>
                </c:pt>
                <c:pt idx="212">
                  <c:v>0.13584905660377339</c:v>
                </c:pt>
                <c:pt idx="213">
                  <c:v>0.13521126760563359</c:v>
                </c:pt>
                <c:pt idx="214">
                  <c:v>0.13457943925233623</c:v>
                </c:pt>
                <c:pt idx="215">
                  <c:v>0.13395348837209281</c:v>
                </c:pt>
                <c:pt idx="216">
                  <c:v>0.13333333333333311</c:v>
                </c:pt>
                <c:pt idx="217">
                  <c:v>0.13271889400921635</c:v>
                </c:pt>
                <c:pt idx="218">
                  <c:v>0.13211009174311902</c:v>
                </c:pt>
                <c:pt idx="219">
                  <c:v>0.13150684931506823</c:v>
                </c:pt>
                <c:pt idx="220">
                  <c:v>0.13090909090909064</c:v>
                </c:pt>
                <c:pt idx="221">
                  <c:v>0.1303167420814477</c:v>
                </c:pt>
                <c:pt idx="222">
                  <c:v>0.12972972972972946</c:v>
                </c:pt>
                <c:pt idx="223">
                  <c:v>0.12914798206278</c:v>
                </c:pt>
                <c:pt idx="224">
                  <c:v>0.12857142857142828</c:v>
                </c:pt>
                <c:pt idx="225">
                  <c:v>0.12799999999999973</c:v>
                </c:pt>
                <c:pt idx="226">
                  <c:v>0.12743362831858379</c:v>
                </c:pt>
                <c:pt idx="227">
                  <c:v>0.12687224669603495</c:v>
                </c:pt>
                <c:pt idx="228">
                  <c:v>0.12631578947368391</c:v>
                </c:pt>
                <c:pt idx="229">
                  <c:v>0.12576419213973769</c:v>
                </c:pt>
                <c:pt idx="230">
                  <c:v>0.1252173913043475</c:v>
                </c:pt>
                <c:pt idx="231">
                  <c:v>0.12435149266318032</c:v>
                </c:pt>
                <c:pt idx="232">
                  <c:v>0.12328180737217535</c:v>
                </c:pt>
                <c:pt idx="233">
                  <c:v>0.12222586527657472</c:v>
                </c:pt>
                <c:pt idx="234">
                  <c:v>0.12118343195266207</c:v>
                </c:pt>
                <c:pt idx="235">
                  <c:v>0.12015427795382461</c:v>
                </c:pt>
                <c:pt idx="236">
                  <c:v>0.11913817868428546</c:v>
                </c:pt>
                <c:pt idx="237">
                  <c:v>0.11813491427655758</c:v>
                </c:pt>
                <c:pt idx="238">
                  <c:v>0.11714426947249421</c:v>
                </c:pt>
                <c:pt idx="239">
                  <c:v>0.11616603350781605</c:v>
                </c:pt>
                <c:pt idx="240">
                  <c:v>0.11519999999999932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1E-4388-8D8C-97CEA71CA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85328"/>
        <c:axId val="1"/>
      </c:scatterChart>
      <c:valAx>
        <c:axId val="27285328"/>
        <c:scaling>
          <c:orientation val="minMax"/>
          <c:max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O"/>
                  <a:t>Periodo (Seg)</a:t>
                </a:r>
              </a:p>
            </c:rich>
          </c:tx>
          <c:layout>
            <c:manualLayout>
              <c:xMode val="edge"/>
              <c:yMode val="edge"/>
              <c:x val="0.47942158427801318"/>
              <c:y val="0.9363785154220161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O"/>
                  <a:t>Sa</a:t>
                </a:r>
              </a:p>
            </c:rich>
          </c:tx>
          <c:layout>
            <c:manualLayout>
              <c:xMode val="edge"/>
              <c:yMode val="edge"/>
              <c:x val="1.2235820821798473E-2"/>
              <c:y val="0.4877651564046297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285328"/>
        <c:crosses val="autoZero"/>
        <c:crossBetween val="midCat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Empujes</a:t>
            </a:r>
            <a:r>
              <a:rPr lang="es-ES" baseline="0"/>
              <a:t> de tierra considerados en el modelo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Empuje 01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512455608083434"/>
                  <c:y val="-0.14318335329592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'Análisis de Cargas'!$B$118:$B$119</c:f>
              <c:numCache>
                <c:formatCode>0.0</c:formatCode>
                <c:ptCount val="2"/>
                <c:pt idx="0">
                  <c:v>0</c:v>
                </c:pt>
                <c:pt idx="1">
                  <c:v>21.650592958573359</c:v>
                </c:pt>
              </c:numCache>
            </c:numRef>
          </c:xVal>
          <c:yVal>
            <c:numRef>
              <c:f>'Análisis de Cargas'!$A$118:$A$119</c:f>
              <c:numCache>
                <c:formatCode>General</c:formatCode>
                <c:ptCount val="2"/>
                <c:pt idx="0">
                  <c:v>0</c:v>
                </c:pt>
                <c:pt idx="1">
                  <c:v>-2.52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18-4C6A-8D54-F870102D6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005120"/>
        <c:axId val="1627477280"/>
      </c:scatterChart>
      <c:valAx>
        <c:axId val="28900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7477280"/>
        <c:crosses val="autoZero"/>
        <c:crossBetween val="midCat"/>
      </c:valAx>
      <c:valAx>
        <c:axId val="162747728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900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ESPECTRO ELÁSTICO DE DISEÑO</a:t>
            </a:r>
          </a:p>
        </c:rich>
      </c:tx>
      <c:layout>
        <c:manualLayout>
          <c:xMode val="edge"/>
          <c:yMode val="edge"/>
          <c:x val="0.29903492422267924"/>
          <c:y val="1.0450565083805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176080101950085E-2"/>
          <c:y val="0.11797849689150201"/>
          <c:w val="0.87430478309232451"/>
          <c:h val="0.76345840130505704"/>
        </c:manualLayout>
      </c:layout>
      <c:scatterChart>
        <c:scatterStyle val="smoothMarker"/>
        <c:varyColors val="0"/>
        <c:ser>
          <c:idx val="0"/>
          <c:order val="0"/>
          <c:tx>
            <c:v>Especto elástico de diseño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'ESPECTRO NSR-10'!$A$2:$A$242</c:f>
              <c:numCache>
                <c:formatCode>0.00</c:formatCode>
                <c:ptCount val="2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7.5000000000000011E-2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0.19999999999999998</c:v>
                </c:pt>
                <c:pt idx="9">
                  <c:v>0.22499999999999998</c:v>
                </c:pt>
                <c:pt idx="10">
                  <c:v>0.24999999999999997</c:v>
                </c:pt>
                <c:pt idx="11">
                  <c:v>0.27499999999999997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0.35000000000000003</c:v>
                </c:pt>
                <c:pt idx="15">
                  <c:v>0.37500000000000006</c:v>
                </c:pt>
                <c:pt idx="16">
                  <c:v>0.40000000000000008</c:v>
                </c:pt>
                <c:pt idx="17">
                  <c:v>0.4250000000000001</c:v>
                </c:pt>
                <c:pt idx="18">
                  <c:v>0.45000000000000012</c:v>
                </c:pt>
                <c:pt idx="19">
                  <c:v>0.47500000000000014</c:v>
                </c:pt>
                <c:pt idx="20">
                  <c:v>0.50000000000000011</c:v>
                </c:pt>
                <c:pt idx="21">
                  <c:v>0.52500000000000013</c:v>
                </c:pt>
                <c:pt idx="22">
                  <c:v>0.55000000000000016</c:v>
                </c:pt>
                <c:pt idx="23">
                  <c:v>0.57500000000000018</c:v>
                </c:pt>
                <c:pt idx="24">
                  <c:v>0.6000000000000002</c:v>
                </c:pt>
                <c:pt idx="25">
                  <c:v>0.62500000000000022</c:v>
                </c:pt>
                <c:pt idx="26">
                  <c:v>0.65000000000000024</c:v>
                </c:pt>
                <c:pt idx="27">
                  <c:v>0.67500000000000027</c:v>
                </c:pt>
                <c:pt idx="28">
                  <c:v>0.70000000000000029</c:v>
                </c:pt>
                <c:pt idx="29">
                  <c:v>0.72500000000000031</c:v>
                </c:pt>
                <c:pt idx="30">
                  <c:v>0.75000000000000033</c:v>
                </c:pt>
                <c:pt idx="31">
                  <c:v>0.77500000000000036</c:v>
                </c:pt>
                <c:pt idx="32">
                  <c:v>0.80000000000000038</c:v>
                </c:pt>
                <c:pt idx="33">
                  <c:v>0.8250000000000004</c:v>
                </c:pt>
                <c:pt idx="34">
                  <c:v>0.85000000000000042</c:v>
                </c:pt>
                <c:pt idx="35">
                  <c:v>0.87500000000000044</c:v>
                </c:pt>
                <c:pt idx="36">
                  <c:v>0.90000000000000047</c:v>
                </c:pt>
                <c:pt idx="37">
                  <c:v>0.92500000000000049</c:v>
                </c:pt>
                <c:pt idx="38">
                  <c:v>0.95000000000000051</c:v>
                </c:pt>
                <c:pt idx="39">
                  <c:v>0.97500000000000053</c:v>
                </c:pt>
                <c:pt idx="40">
                  <c:v>1.0000000000000004</c:v>
                </c:pt>
                <c:pt idx="41">
                  <c:v>1.0250000000000004</c:v>
                </c:pt>
                <c:pt idx="42">
                  <c:v>1.0500000000000003</c:v>
                </c:pt>
                <c:pt idx="43">
                  <c:v>1.0750000000000002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1.1749999999999998</c:v>
                </c:pt>
                <c:pt idx="48">
                  <c:v>1.1999999999999997</c:v>
                </c:pt>
                <c:pt idx="49">
                  <c:v>1.2249999999999996</c:v>
                </c:pt>
                <c:pt idx="50">
                  <c:v>1.2499999999999996</c:v>
                </c:pt>
                <c:pt idx="51">
                  <c:v>1.2749999999999995</c:v>
                </c:pt>
                <c:pt idx="52">
                  <c:v>1.2999999999999994</c:v>
                </c:pt>
                <c:pt idx="53">
                  <c:v>1.3249999999999993</c:v>
                </c:pt>
                <c:pt idx="54">
                  <c:v>1.3499999999999992</c:v>
                </c:pt>
                <c:pt idx="55">
                  <c:v>1.3749999999999991</c:v>
                </c:pt>
                <c:pt idx="56">
                  <c:v>1.399999999999999</c:v>
                </c:pt>
                <c:pt idx="57">
                  <c:v>1.4249999999999989</c:v>
                </c:pt>
                <c:pt idx="58">
                  <c:v>1.4499999999999988</c:v>
                </c:pt>
                <c:pt idx="59">
                  <c:v>1.4749999999999988</c:v>
                </c:pt>
                <c:pt idx="60">
                  <c:v>1.4999999999999987</c:v>
                </c:pt>
                <c:pt idx="61">
                  <c:v>1.5249999999999986</c:v>
                </c:pt>
                <c:pt idx="62">
                  <c:v>1.5499999999999985</c:v>
                </c:pt>
                <c:pt idx="63">
                  <c:v>1.5749999999999984</c:v>
                </c:pt>
                <c:pt idx="64">
                  <c:v>1.5999999999999983</c:v>
                </c:pt>
                <c:pt idx="65">
                  <c:v>1.6249999999999982</c:v>
                </c:pt>
                <c:pt idx="66">
                  <c:v>1.6499999999999981</c:v>
                </c:pt>
                <c:pt idx="67">
                  <c:v>1.674999999999998</c:v>
                </c:pt>
                <c:pt idx="68">
                  <c:v>1.699999999999998</c:v>
                </c:pt>
                <c:pt idx="69">
                  <c:v>1.7249999999999979</c:v>
                </c:pt>
                <c:pt idx="70">
                  <c:v>1.7499999999999978</c:v>
                </c:pt>
                <c:pt idx="71">
                  <c:v>1.7749999999999977</c:v>
                </c:pt>
                <c:pt idx="72">
                  <c:v>1.7999999999999976</c:v>
                </c:pt>
                <c:pt idx="73">
                  <c:v>1.8249999999999975</c:v>
                </c:pt>
                <c:pt idx="74">
                  <c:v>1.8499999999999974</c:v>
                </c:pt>
                <c:pt idx="75">
                  <c:v>1.8749999999999973</c:v>
                </c:pt>
                <c:pt idx="76">
                  <c:v>1.8999999999999972</c:v>
                </c:pt>
                <c:pt idx="77">
                  <c:v>1.9249999999999972</c:v>
                </c:pt>
                <c:pt idx="78">
                  <c:v>1.9499999999999971</c:v>
                </c:pt>
                <c:pt idx="79">
                  <c:v>1.974999999999997</c:v>
                </c:pt>
                <c:pt idx="80">
                  <c:v>1.9999999999999969</c:v>
                </c:pt>
                <c:pt idx="81">
                  <c:v>2.0249999999999968</c:v>
                </c:pt>
                <c:pt idx="82">
                  <c:v>2.0499999999999967</c:v>
                </c:pt>
                <c:pt idx="83">
                  <c:v>2.0749999999999966</c:v>
                </c:pt>
                <c:pt idx="84">
                  <c:v>2.0999999999999965</c:v>
                </c:pt>
                <c:pt idx="85">
                  <c:v>2.1249999999999964</c:v>
                </c:pt>
                <c:pt idx="86">
                  <c:v>2.1499999999999964</c:v>
                </c:pt>
                <c:pt idx="87">
                  <c:v>2.1749999999999963</c:v>
                </c:pt>
                <c:pt idx="88">
                  <c:v>2.1999999999999962</c:v>
                </c:pt>
                <c:pt idx="89">
                  <c:v>2.2249999999999961</c:v>
                </c:pt>
                <c:pt idx="90">
                  <c:v>2.249999999999996</c:v>
                </c:pt>
                <c:pt idx="91">
                  <c:v>2.2749999999999959</c:v>
                </c:pt>
                <c:pt idx="92">
                  <c:v>2.2999999999999958</c:v>
                </c:pt>
                <c:pt idx="93">
                  <c:v>2.3249999999999957</c:v>
                </c:pt>
                <c:pt idx="94">
                  <c:v>2.3499999999999956</c:v>
                </c:pt>
                <c:pt idx="95">
                  <c:v>2.3749999999999956</c:v>
                </c:pt>
                <c:pt idx="96">
                  <c:v>2.3999999999999955</c:v>
                </c:pt>
                <c:pt idx="97">
                  <c:v>2.4249999999999954</c:v>
                </c:pt>
                <c:pt idx="98">
                  <c:v>2.4499999999999953</c:v>
                </c:pt>
                <c:pt idx="99">
                  <c:v>2.4749999999999952</c:v>
                </c:pt>
                <c:pt idx="100">
                  <c:v>2.4999999999999951</c:v>
                </c:pt>
                <c:pt idx="101">
                  <c:v>2.524999999999995</c:v>
                </c:pt>
                <c:pt idx="102">
                  <c:v>2.5499999999999949</c:v>
                </c:pt>
                <c:pt idx="103">
                  <c:v>2.5749999999999948</c:v>
                </c:pt>
                <c:pt idx="104">
                  <c:v>2.5999999999999948</c:v>
                </c:pt>
                <c:pt idx="105">
                  <c:v>2.6249999999999947</c:v>
                </c:pt>
                <c:pt idx="106">
                  <c:v>2.6499999999999946</c:v>
                </c:pt>
                <c:pt idx="107">
                  <c:v>2.6749999999999945</c:v>
                </c:pt>
                <c:pt idx="108">
                  <c:v>2.6999999999999944</c:v>
                </c:pt>
                <c:pt idx="109">
                  <c:v>2.7249999999999943</c:v>
                </c:pt>
                <c:pt idx="110">
                  <c:v>2.7499999999999942</c:v>
                </c:pt>
                <c:pt idx="111">
                  <c:v>2.7749999999999941</c:v>
                </c:pt>
                <c:pt idx="112">
                  <c:v>2.799999999999994</c:v>
                </c:pt>
                <c:pt idx="113">
                  <c:v>2.824999999999994</c:v>
                </c:pt>
                <c:pt idx="114">
                  <c:v>2.8499999999999939</c:v>
                </c:pt>
                <c:pt idx="115">
                  <c:v>2.8749999999999938</c:v>
                </c:pt>
                <c:pt idx="116">
                  <c:v>2.8999999999999937</c:v>
                </c:pt>
                <c:pt idx="117">
                  <c:v>2.9249999999999936</c:v>
                </c:pt>
                <c:pt idx="118">
                  <c:v>2.9499999999999935</c:v>
                </c:pt>
                <c:pt idx="119">
                  <c:v>2.9749999999999934</c:v>
                </c:pt>
                <c:pt idx="120">
                  <c:v>2.9999999999999933</c:v>
                </c:pt>
                <c:pt idx="121">
                  <c:v>3.0249999999999932</c:v>
                </c:pt>
                <c:pt idx="122">
                  <c:v>3.0499999999999932</c:v>
                </c:pt>
                <c:pt idx="123">
                  <c:v>3.0749999999999931</c:v>
                </c:pt>
                <c:pt idx="124">
                  <c:v>3.099999999999993</c:v>
                </c:pt>
                <c:pt idx="125">
                  <c:v>3.1249999999999929</c:v>
                </c:pt>
                <c:pt idx="126">
                  <c:v>3.1499999999999928</c:v>
                </c:pt>
                <c:pt idx="127">
                  <c:v>3.1749999999999927</c:v>
                </c:pt>
                <c:pt idx="128">
                  <c:v>3.1999999999999926</c:v>
                </c:pt>
                <c:pt idx="129">
                  <c:v>3.2249999999999925</c:v>
                </c:pt>
                <c:pt idx="130">
                  <c:v>3.2499999999999925</c:v>
                </c:pt>
                <c:pt idx="131">
                  <c:v>3.2749999999999924</c:v>
                </c:pt>
                <c:pt idx="132">
                  <c:v>3.2999999999999923</c:v>
                </c:pt>
                <c:pt idx="133">
                  <c:v>3.3249999999999922</c:v>
                </c:pt>
                <c:pt idx="134">
                  <c:v>3.3499999999999921</c:v>
                </c:pt>
                <c:pt idx="135">
                  <c:v>3.374999999999992</c:v>
                </c:pt>
                <c:pt idx="136">
                  <c:v>3.3999999999999919</c:v>
                </c:pt>
                <c:pt idx="137">
                  <c:v>3.4249999999999918</c:v>
                </c:pt>
                <c:pt idx="138">
                  <c:v>3.4499999999999917</c:v>
                </c:pt>
                <c:pt idx="139">
                  <c:v>3.4749999999999917</c:v>
                </c:pt>
                <c:pt idx="140">
                  <c:v>3.4999999999999916</c:v>
                </c:pt>
                <c:pt idx="141">
                  <c:v>3.5249999999999915</c:v>
                </c:pt>
                <c:pt idx="142">
                  <c:v>3.5499999999999914</c:v>
                </c:pt>
                <c:pt idx="143">
                  <c:v>3.5749999999999913</c:v>
                </c:pt>
                <c:pt idx="144">
                  <c:v>3.5999999999999912</c:v>
                </c:pt>
                <c:pt idx="145">
                  <c:v>3.6249999999999911</c:v>
                </c:pt>
                <c:pt idx="146">
                  <c:v>3.649999999999991</c:v>
                </c:pt>
                <c:pt idx="147">
                  <c:v>3.6749999999999909</c:v>
                </c:pt>
                <c:pt idx="148">
                  <c:v>3.6999999999999909</c:v>
                </c:pt>
                <c:pt idx="149">
                  <c:v>3.7249999999999908</c:v>
                </c:pt>
                <c:pt idx="150">
                  <c:v>3.7499999999999907</c:v>
                </c:pt>
                <c:pt idx="151">
                  <c:v>3.7749999999999906</c:v>
                </c:pt>
                <c:pt idx="152">
                  <c:v>3.7999999999999905</c:v>
                </c:pt>
                <c:pt idx="153">
                  <c:v>3.8249999999999904</c:v>
                </c:pt>
                <c:pt idx="154">
                  <c:v>3.8499999999999903</c:v>
                </c:pt>
                <c:pt idx="155">
                  <c:v>3.8749999999999902</c:v>
                </c:pt>
                <c:pt idx="156">
                  <c:v>3.8999999999999901</c:v>
                </c:pt>
                <c:pt idx="157">
                  <c:v>3.9249999999999901</c:v>
                </c:pt>
                <c:pt idx="158">
                  <c:v>3.94999999999999</c:v>
                </c:pt>
                <c:pt idx="159">
                  <c:v>3.9749999999999899</c:v>
                </c:pt>
                <c:pt idx="160">
                  <c:v>3.9999999999999898</c:v>
                </c:pt>
                <c:pt idx="161">
                  <c:v>4.0249999999999897</c:v>
                </c:pt>
                <c:pt idx="162">
                  <c:v>4.0499999999999901</c:v>
                </c:pt>
                <c:pt idx="163">
                  <c:v>4.0749999999999904</c:v>
                </c:pt>
                <c:pt idx="164">
                  <c:v>4.0999999999999908</c:v>
                </c:pt>
                <c:pt idx="165">
                  <c:v>4.1249999999999911</c:v>
                </c:pt>
                <c:pt idx="166">
                  <c:v>4.1499999999999915</c:v>
                </c:pt>
                <c:pt idx="167">
                  <c:v>4.1749999999999918</c:v>
                </c:pt>
                <c:pt idx="168">
                  <c:v>4.1999999999999922</c:v>
                </c:pt>
                <c:pt idx="169">
                  <c:v>4.2249999999999925</c:v>
                </c:pt>
                <c:pt idx="170">
                  <c:v>4.2499999999999929</c:v>
                </c:pt>
                <c:pt idx="171">
                  <c:v>4.2749999999999932</c:v>
                </c:pt>
                <c:pt idx="172">
                  <c:v>4.2999999999999936</c:v>
                </c:pt>
                <c:pt idx="173">
                  <c:v>4.324999999999994</c:v>
                </c:pt>
                <c:pt idx="174">
                  <c:v>4.3499999999999943</c:v>
                </c:pt>
                <c:pt idx="175">
                  <c:v>4.3749999999999947</c:v>
                </c:pt>
                <c:pt idx="176">
                  <c:v>4.399999999999995</c:v>
                </c:pt>
                <c:pt idx="177">
                  <c:v>4.4249999999999954</c:v>
                </c:pt>
                <c:pt idx="178">
                  <c:v>4.4499999999999957</c:v>
                </c:pt>
                <c:pt idx="179">
                  <c:v>4.4749999999999961</c:v>
                </c:pt>
                <c:pt idx="180">
                  <c:v>4.4999999999999964</c:v>
                </c:pt>
                <c:pt idx="181">
                  <c:v>4.5249999999999968</c:v>
                </c:pt>
                <c:pt idx="182">
                  <c:v>4.5499999999999972</c:v>
                </c:pt>
                <c:pt idx="183">
                  <c:v>4.5749999999999975</c:v>
                </c:pt>
                <c:pt idx="184">
                  <c:v>4.5999999999999979</c:v>
                </c:pt>
                <c:pt idx="185">
                  <c:v>4.6249999999999982</c:v>
                </c:pt>
                <c:pt idx="186">
                  <c:v>4.6499999999999986</c:v>
                </c:pt>
                <c:pt idx="187">
                  <c:v>4.6749999999999989</c:v>
                </c:pt>
                <c:pt idx="188">
                  <c:v>4.6999999999999993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4.8000000000000007</c:v>
                </c:pt>
                <c:pt idx="193">
                  <c:v>4.8250000000000011</c:v>
                </c:pt>
                <c:pt idx="194">
                  <c:v>4.8500000000000014</c:v>
                </c:pt>
                <c:pt idx="195">
                  <c:v>4.8750000000000018</c:v>
                </c:pt>
                <c:pt idx="196">
                  <c:v>4.9000000000000021</c:v>
                </c:pt>
                <c:pt idx="197">
                  <c:v>4.9250000000000025</c:v>
                </c:pt>
                <c:pt idx="198">
                  <c:v>4.9500000000000028</c:v>
                </c:pt>
                <c:pt idx="199">
                  <c:v>4.9750000000000032</c:v>
                </c:pt>
                <c:pt idx="200">
                  <c:v>5.0000000000000036</c:v>
                </c:pt>
                <c:pt idx="201">
                  <c:v>5.0250000000000039</c:v>
                </c:pt>
                <c:pt idx="202">
                  <c:v>5.0500000000000043</c:v>
                </c:pt>
                <c:pt idx="203">
                  <c:v>5.0750000000000046</c:v>
                </c:pt>
                <c:pt idx="204">
                  <c:v>5.100000000000005</c:v>
                </c:pt>
                <c:pt idx="205">
                  <c:v>5.1250000000000053</c:v>
                </c:pt>
                <c:pt idx="206">
                  <c:v>5.1500000000000057</c:v>
                </c:pt>
                <c:pt idx="207">
                  <c:v>5.175000000000006</c:v>
                </c:pt>
                <c:pt idx="208">
                  <c:v>5.2000000000000064</c:v>
                </c:pt>
                <c:pt idx="209">
                  <c:v>5.2250000000000068</c:v>
                </c:pt>
                <c:pt idx="210">
                  <c:v>5.2500000000000071</c:v>
                </c:pt>
                <c:pt idx="211">
                  <c:v>5.2750000000000075</c:v>
                </c:pt>
                <c:pt idx="212">
                  <c:v>5.3000000000000078</c:v>
                </c:pt>
                <c:pt idx="213">
                  <c:v>5.3250000000000082</c:v>
                </c:pt>
                <c:pt idx="214">
                  <c:v>5.3500000000000085</c:v>
                </c:pt>
                <c:pt idx="215">
                  <c:v>5.3750000000000089</c:v>
                </c:pt>
                <c:pt idx="216">
                  <c:v>5.4000000000000092</c:v>
                </c:pt>
                <c:pt idx="217">
                  <c:v>5.4250000000000096</c:v>
                </c:pt>
                <c:pt idx="218">
                  <c:v>5.4500000000000099</c:v>
                </c:pt>
                <c:pt idx="219">
                  <c:v>5.4750000000000103</c:v>
                </c:pt>
                <c:pt idx="220">
                  <c:v>5.5000000000000107</c:v>
                </c:pt>
                <c:pt idx="221">
                  <c:v>5.525000000000011</c:v>
                </c:pt>
                <c:pt idx="222">
                  <c:v>5.5500000000000114</c:v>
                </c:pt>
                <c:pt idx="223">
                  <c:v>5.5750000000000117</c:v>
                </c:pt>
                <c:pt idx="224">
                  <c:v>5.6000000000000121</c:v>
                </c:pt>
                <c:pt idx="225">
                  <c:v>5.6250000000000124</c:v>
                </c:pt>
                <c:pt idx="226">
                  <c:v>5.6500000000000128</c:v>
                </c:pt>
                <c:pt idx="227">
                  <c:v>5.6750000000000131</c:v>
                </c:pt>
                <c:pt idx="228">
                  <c:v>5.7000000000000135</c:v>
                </c:pt>
                <c:pt idx="229">
                  <c:v>5.7250000000000139</c:v>
                </c:pt>
                <c:pt idx="230">
                  <c:v>5.7500000000000142</c:v>
                </c:pt>
                <c:pt idx="231">
                  <c:v>5.7750000000000146</c:v>
                </c:pt>
                <c:pt idx="232">
                  <c:v>5.8000000000000149</c:v>
                </c:pt>
                <c:pt idx="233">
                  <c:v>5.8250000000000153</c:v>
                </c:pt>
                <c:pt idx="234">
                  <c:v>5.8500000000000156</c:v>
                </c:pt>
                <c:pt idx="235">
                  <c:v>5.875000000000016</c:v>
                </c:pt>
                <c:pt idx="236">
                  <c:v>5.9000000000000163</c:v>
                </c:pt>
                <c:pt idx="237">
                  <c:v>5.9250000000000167</c:v>
                </c:pt>
                <c:pt idx="238">
                  <c:v>5.9500000000000171</c:v>
                </c:pt>
                <c:pt idx="239">
                  <c:v>5.9750000000000174</c:v>
                </c:pt>
                <c:pt idx="240">
                  <c:v>6.0000000000000178</c:v>
                </c:pt>
              </c:numCache>
            </c:numRef>
          </c:xVal>
          <c:yVal>
            <c:numRef>
              <c:f>'ESPECTRO NSR-10'!$B$2:$B$242</c:f>
              <c:numCache>
                <c:formatCode>0.0000</c:formatCode>
                <c:ptCount val="241"/>
                <c:pt idx="0">
                  <c:v>0.89999999999999991</c:v>
                </c:pt>
                <c:pt idx="1">
                  <c:v>0.89999999999999991</c:v>
                </c:pt>
                <c:pt idx="2">
                  <c:v>0.89999999999999991</c:v>
                </c:pt>
                <c:pt idx="3">
                  <c:v>0.89999999999999991</c:v>
                </c:pt>
                <c:pt idx="4">
                  <c:v>0.89999999999999991</c:v>
                </c:pt>
                <c:pt idx="5">
                  <c:v>0.89999999999999991</c:v>
                </c:pt>
                <c:pt idx="6">
                  <c:v>0.89999999999999991</c:v>
                </c:pt>
                <c:pt idx="7">
                  <c:v>0.89999999999999991</c:v>
                </c:pt>
                <c:pt idx="8">
                  <c:v>0.89999999999999991</c:v>
                </c:pt>
                <c:pt idx="9">
                  <c:v>0.89999999999999991</c:v>
                </c:pt>
                <c:pt idx="10">
                  <c:v>0.89999999999999991</c:v>
                </c:pt>
                <c:pt idx="11">
                  <c:v>0.89999999999999991</c:v>
                </c:pt>
                <c:pt idx="12">
                  <c:v>0.89999999999999991</c:v>
                </c:pt>
                <c:pt idx="13">
                  <c:v>0.89999999999999991</c:v>
                </c:pt>
                <c:pt idx="14">
                  <c:v>0.89999999999999991</c:v>
                </c:pt>
                <c:pt idx="15">
                  <c:v>0.89999999999999991</c:v>
                </c:pt>
                <c:pt idx="16">
                  <c:v>0.89999999999999991</c:v>
                </c:pt>
                <c:pt idx="17">
                  <c:v>0.89999999999999991</c:v>
                </c:pt>
                <c:pt idx="18">
                  <c:v>0.89999999999999991</c:v>
                </c:pt>
                <c:pt idx="19">
                  <c:v>0.89999999999999991</c:v>
                </c:pt>
                <c:pt idx="20">
                  <c:v>0.89999999999999991</c:v>
                </c:pt>
                <c:pt idx="21">
                  <c:v>0.89999999999999991</c:v>
                </c:pt>
                <c:pt idx="22">
                  <c:v>0.89999999999999991</c:v>
                </c:pt>
                <c:pt idx="23">
                  <c:v>0.89999999999999991</c:v>
                </c:pt>
                <c:pt idx="24">
                  <c:v>0.89999999999999991</c:v>
                </c:pt>
                <c:pt idx="25">
                  <c:v>0.89999999999999991</c:v>
                </c:pt>
                <c:pt idx="26">
                  <c:v>0.89999999999999991</c:v>
                </c:pt>
                <c:pt idx="27">
                  <c:v>0.89999999999999991</c:v>
                </c:pt>
                <c:pt idx="28">
                  <c:v>0.89999999999999991</c:v>
                </c:pt>
                <c:pt idx="29">
                  <c:v>0.89999999999999991</c:v>
                </c:pt>
                <c:pt idx="30">
                  <c:v>0.89999999999999991</c:v>
                </c:pt>
                <c:pt idx="31">
                  <c:v>0.89999999999999991</c:v>
                </c:pt>
                <c:pt idx="32">
                  <c:v>0.89999999999999991</c:v>
                </c:pt>
                <c:pt idx="33">
                  <c:v>0.87272727272727224</c:v>
                </c:pt>
                <c:pt idx="34">
                  <c:v>0.84705882352941131</c:v>
                </c:pt>
                <c:pt idx="35">
                  <c:v>0.8228571428571424</c:v>
                </c:pt>
                <c:pt idx="36">
                  <c:v>0.7999999999999996</c:v>
                </c:pt>
                <c:pt idx="37">
                  <c:v>0.77837837837837798</c:v>
                </c:pt>
                <c:pt idx="38">
                  <c:v>0.75789473684210484</c:v>
                </c:pt>
                <c:pt idx="39">
                  <c:v>0.73846153846153806</c:v>
                </c:pt>
                <c:pt idx="40">
                  <c:v>0.71999999999999964</c:v>
                </c:pt>
                <c:pt idx="41">
                  <c:v>0.70243902439024364</c:v>
                </c:pt>
                <c:pt idx="42">
                  <c:v>0.6857142857142855</c:v>
                </c:pt>
                <c:pt idx="43">
                  <c:v>0.669767441860465</c:v>
                </c:pt>
                <c:pt idx="44">
                  <c:v>0.65454545454545443</c:v>
                </c:pt>
                <c:pt idx="45">
                  <c:v>0.64</c:v>
                </c:pt>
                <c:pt idx="46">
                  <c:v>0.62608695652173918</c:v>
                </c:pt>
                <c:pt idx="47">
                  <c:v>0.61276595744680862</c:v>
                </c:pt>
                <c:pt idx="48">
                  <c:v>0.60000000000000009</c:v>
                </c:pt>
                <c:pt idx="49">
                  <c:v>0.58775510204081649</c:v>
                </c:pt>
                <c:pt idx="50">
                  <c:v>0.57600000000000018</c:v>
                </c:pt>
                <c:pt idx="51">
                  <c:v>0.56470588235294139</c:v>
                </c:pt>
                <c:pt idx="52">
                  <c:v>0.5538461538461541</c:v>
                </c:pt>
                <c:pt idx="53">
                  <c:v>0.54339622641509466</c:v>
                </c:pt>
                <c:pt idx="54">
                  <c:v>0.53333333333333366</c:v>
                </c:pt>
                <c:pt idx="55">
                  <c:v>0.52363636363636401</c:v>
                </c:pt>
                <c:pt idx="56">
                  <c:v>0.51428571428571468</c:v>
                </c:pt>
                <c:pt idx="57">
                  <c:v>0.50526315789473719</c:v>
                </c:pt>
                <c:pt idx="58">
                  <c:v>0.49655172413793142</c:v>
                </c:pt>
                <c:pt idx="59">
                  <c:v>0.48813559322033939</c:v>
                </c:pt>
                <c:pt idx="60">
                  <c:v>0.48000000000000043</c:v>
                </c:pt>
                <c:pt idx="61">
                  <c:v>0.47213114754098401</c:v>
                </c:pt>
                <c:pt idx="62">
                  <c:v>0.46451612903225847</c:v>
                </c:pt>
                <c:pt idx="63">
                  <c:v>0.45714285714285757</c:v>
                </c:pt>
                <c:pt idx="64">
                  <c:v>0.45000000000000046</c:v>
                </c:pt>
                <c:pt idx="65">
                  <c:v>0.44307692307692353</c:v>
                </c:pt>
                <c:pt idx="66">
                  <c:v>0.43636363636363684</c:v>
                </c:pt>
                <c:pt idx="67">
                  <c:v>0.42985074626865721</c:v>
                </c:pt>
                <c:pt idx="68">
                  <c:v>0.42352941176470638</c:v>
                </c:pt>
                <c:pt idx="69">
                  <c:v>0.41739130434782656</c:v>
                </c:pt>
                <c:pt idx="70">
                  <c:v>0.41142857142857192</c:v>
                </c:pt>
                <c:pt idx="71">
                  <c:v>0.40563380281690192</c:v>
                </c:pt>
                <c:pt idx="72">
                  <c:v>0.40000000000000052</c:v>
                </c:pt>
                <c:pt idx="73">
                  <c:v>0.39452054794520602</c:v>
                </c:pt>
                <c:pt idx="74">
                  <c:v>0.38918918918918971</c:v>
                </c:pt>
                <c:pt idx="75">
                  <c:v>0.38400000000000051</c:v>
                </c:pt>
                <c:pt idx="76">
                  <c:v>0.37894736842105314</c:v>
                </c:pt>
                <c:pt idx="77">
                  <c:v>0.37402597402597454</c:v>
                </c:pt>
                <c:pt idx="78">
                  <c:v>0.36923076923076975</c:v>
                </c:pt>
                <c:pt idx="79">
                  <c:v>0.36455696202531701</c:v>
                </c:pt>
                <c:pt idx="80">
                  <c:v>0.36000000000000054</c:v>
                </c:pt>
                <c:pt idx="81">
                  <c:v>0.35555555555555612</c:v>
                </c:pt>
                <c:pt idx="82">
                  <c:v>0.35121951219512249</c:v>
                </c:pt>
                <c:pt idx="83">
                  <c:v>0.34698795180722947</c:v>
                </c:pt>
                <c:pt idx="84">
                  <c:v>0.34285714285714342</c:v>
                </c:pt>
                <c:pt idx="85">
                  <c:v>0.33882352941176525</c:v>
                </c:pt>
                <c:pt idx="86">
                  <c:v>0.33488372093023311</c:v>
                </c:pt>
                <c:pt idx="87">
                  <c:v>0.33103448275862124</c:v>
                </c:pt>
                <c:pt idx="88">
                  <c:v>0.32727272727272783</c:v>
                </c:pt>
                <c:pt idx="89">
                  <c:v>0.32359550561797806</c:v>
                </c:pt>
                <c:pt idx="90">
                  <c:v>0.32000000000000056</c:v>
                </c:pt>
                <c:pt idx="91">
                  <c:v>0.31648351648351702</c:v>
                </c:pt>
                <c:pt idx="92">
                  <c:v>0.31304347826087014</c:v>
                </c:pt>
                <c:pt idx="93">
                  <c:v>0.30967741935483928</c:v>
                </c:pt>
                <c:pt idx="94">
                  <c:v>0.30638297872340481</c:v>
                </c:pt>
                <c:pt idx="95">
                  <c:v>0.30315789473684268</c:v>
                </c:pt>
                <c:pt idx="96">
                  <c:v>0.30000000000000054</c:v>
                </c:pt>
                <c:pt idx="97">
                  <c:v>0.29690721649484592</c:v>
                </c:pt>
                <c:pt idx="98">
                  <c:v>0.29387755102040869</c:v>
                </c:pt>
                <c:pt idx="99">
                  <c:v>0.29090909090909145</c:v>
                </c:pt>
                <c:pt idx="100">
                  <c:v>0.28800000000000053</c:v>
                </c:pt>
                <c:pt idx="101">
                  <c:v>0.28514851485148568</c:v>
                </c:pt>
                <c:pt idx="102">
                  <c:v>0.28235294117647114</c:v>
                </c:pt>
                <c:pt idx="103">
                  <c:v>0.27961165048543746</c:v>
                </c:pt>
                <c:pt idx="104">
                  <c:v>0.27692307692307749</c:v>
                </c:pt>
                <c:pt idx="105">
                  <c:v>0.27428571428571485</c:v>
                </c:pt>
                <c:pt idx="106">
                  <c:v>0.27169811320754772</c:v>
                </c:pt>
                <c:pt idx="107">
                  <c:v>0.26915887850467346</c:v>
                </c:pt>
                <c:pt idx="108">
                  <c:v>0.26666666666666722</c:v>
                </c:pt>
                <c:pt idx="109">
                  <c:v>0.26422018348623905</c:v>
                </c:pt>
                <c:pt idx="110">
                  <c:v>0.26181818181818234</c:v>
                </c:pt>
                <c:pt idx="111">
                  <c:v>0.25945945945945997</c:v>
                </c:pt>
                <c:pt idx="112">
                  <c:v>0.25714285714285767</c:v>
                </c:pt>
                <c:pt idx="113">
                  <c:v>0.25486725663716869</c:v>
                </c:pt>
                <c:pt idx="114">
                  <c:v>0.25263157894736893</c:v>
                </c:pt>
                <c:pt idx="115">
                  <c:v>0.25043478260869617</c:v>
                </c:pt>
                <c:pt idx="116">
                  <c:v>0.24827586206896604</c:v>
                </c:pt>
                <c:pt idx="117">
                  <c:v>0.24615384615384669</c:v>
                </c:pt>
                <c:pt idx="118">
                  <c:v>0.24406779661017003</c:v>
                </c:pt>
                <c:pt idx="119">
                  <c:v>0.2420168067226896</c:v>
                </c:pt>
                <c:pt idx="120">
                  <c:v>0.24000000000000052</c:v>
                </c:pt>
                <c:pt idx="121">
                  <c:v>0.23801652892562036</c:v>
                </c:pt>
                <c:pt idx="122">
                  <c:v>0.23606557377049234</c:v>
                </c:pt>
                <c:pt idx="123">
                  <c:v>0.23414634146341515</c:v>
                </c:pt>
                <c:pt idx="124">
                  <c:v>0.23225806451612954</c:v>
                </c:pt>
                <c:pt idx="125">
                  <c:v>0.23040000000000052</c:v>
                </c:pt>
                <c:pt idx="126">
                  <c:v>0.22857142857142909</c:v>
                </c:pt>
                <c:pt idx="127">
                  <c:v>0.22677165354330761</c:v>
                </c:pt>
                <c:pt idx="128">
                  <c:v>0.22500000000000051</c:v>
                </c:pt>
                <c:pt idx="129">
                  <c:v>0.22325581395348887</c:v>
                </c:pt>
                <c:pt idx="130">
                  <c:v>0.22153846153846204</c:v>
                </c:pt>
                <c:pt idx="131">
                  <c:v>0.2198473282442753</c:v>
                </c:pt>
                <c:pt idx="132">
                  <c:v>0.21818181818181867</c:v>
                </c:pt>
                <c:pt idx="133">
                  <c:v>0.21654135338345915</c:v>
                </c:pt>
                <c:pt idx="134">
                  <c:v>0.21492537313432886</c:v>
                </c:pt>
                <c:pt idx="135">
                  <c:v>0.21333333333333382</c:v>
                </c:pt>
                <c:pt idx="136">
                  <c:v>0.21176470588235344</c:v>
                </c:pt>
                <c:pt idx="137">
                  <c:v>0.21021897810219028</c:v>
                </c:pt>
                <c:pt idx="138">
                  <c:v>0.20869565217391353</c:v>
                </c:pt>
                <c:pt idx="139">
                  <c:v>0.20719424460431704</c:v>
                </c:pt>
                <c:pt idx="140">
                  <c:v>0.20571428571428621</c:v>
                </c:pt>
                <c:pt idx="141">
                  <c:v>0.20425531914893666</c:v>
                </c:pt>
                <c:pt idx="142">
                  <c:v>0.20281690140845118</c:v>
                </c:pt>
                <c:pt idx="143">
                  <c:v>0.20139860139860188</c:v>
                </c:pt>
                <c:pt idx="144">
                  <c:v>0.20000000000000048</c:v>
                </c:pt>
                <c:pt idx="145">
                  <c:v>0.19862068965517291</c:v>
                </c:pt>
                <c:pt idx="146">
                  <c:v>0.19726027397260321</c:v>
                </c:pt>
                <c:pt idx="147">
                  <c:v>0.19591836734693927</c:v>
                </c:pt>
                <c:pt idx="148">
                  <c:v>0.19459459459459508</c:v>
                </c:pt>
                <c:pt idx="149">
                  <c:v>0.19328859060402731</c:v>
                </c:pt>
                <c:pt idx="150">
                  <c:v>0.19200000000000048</c:v>
                </c:pt>
                <c:pt idx="151">
                  <c:v>0.19072847682119251</c:v>
                </c:pt>
                <c:pt idx="152">
                  <c:v>0.18947368421052679</c:v>
                </c:pt>
                <c:pt idx="153">
                  <c:v>0.18823529411764753</c:v>
                </c:pt>
                <c:pt idx="154">
                  <c:v>0.18701298701298746</c:v>
                </c:pt>
                <c:pt idx="155">
                  <c:v>0.18580645161290368</c:v>
                </c:pt>
                <c:pt idx="156">
                  <c:v>0.18461538461538507</c:v>
                </c:pt>
                <c:pt idx="157">
                  <c:v>0.18343949044586033</c:v>
                </c:pt>
                <c:pt idx="158">
                  <c:v>0.18227848101265867</c:v>
                </c:pt>
                <c:pt idx="159">
                  <c:v>0.18113207547169857</c:v>
                </c:pt>
                <c:pt idx="160">
                  <c:v>0.18000000000000047</c:v>
                </c:pt>
                <c:pt idx="161">
                  <c:v>0.17888198757764021</c:v>
                </c:pt>
                <c:pt idx="162">
                  <c:v>0.1777777777777782</c:v>
                </c:pt>
                <c:pt idx="163">
                  <c:v>0.1766871165644176</c:v>
                </c:pt>
                <c:pt idx="164">
                  <c:v>0.17560975609756135</c:v>
                </c:pt>
                <c:pt idx="165">
                  <c:v>0.17454545454545492</c:v>
                </c:pt>
                <c:pt idx="166">
                  <c:v>0.17349397590361482</c:v>
                </c:pt>
                <c:pt idx="167">
                  <c:v>0.17245508982035962</c:v>
                </c:pt>
                <c:pt idx="168">
                  <c:v>0.17142857142857174</c:v>
                </c:pt>
                <c:pt idx="169">
                  <c:v>0.17041420118343226</c:v>
                </c:pt>
                <c:pt idx="170">
                  <c:v>0.16941176470588262</c:v>
                </c:pt>
                <c:pt idx="171">
                  <c:v>0.16842105263157919</c:v>
                </c:pt>
                <c:pt idx="172">
                  <c:v>0.16744186046511653</c:v>
                </c:pt>
                <c:pt idx="173">
                  <c:v>0.16647398843930658</c:v>
                </c:pt>
                <c:pt idx="174">
                  <c:v>0.16551724137931056</c:v>
                </c:pt>
                <c:pt idx="175">
                  <c:v>0.16457142857142876</c:v>
                </c:pt>
                <c:pt idx="176">
                  <c:v>0.1636363636363638</c:v>
                </c:pt>
                <c:pt idx="177">
                  <c:v>0.16271186440677982</c:v>
                </c:pt>
                <c:pt idx="178">
                  <c:v>0.16179775280898892</c:v>
                </c:pt>
                <c:pt idx="179">
                  <c:v>0.16089385474860349</c:v>
                </c:pt>
                <c:pt idx="180">
                  <c:v>0.16000000000000011</c:v>
                </c:pt>
                <c:pt idx="181">
                  <c:v>0.15911602209944761</c:v>
                </c:pt>
                <c:pt idx="182">
                  <c:v>0.15824175824175835</c:v>
                </c:pt>
                <c:pt idx="183">
                  <c:v>0.15737704918032794</c:v>
                </c:pt>
                <c:pt idx="184">
                  <c:v>0.15652173913043485</c:v>
                </c:pt>
                <c:pt idx="185">
                  <c:v>0.15567567567567572</c:v>
                </c:pt>
                <c:pt idx="186">
                  <c:v>0.15483870967741939</c:v>
                </c:pt>
                <c:pt idx="187">
                  <c:v>0.15401069518716581</c:v>
                </c:pt>
                <c:pt idx="188">
                  <c:v>0.15319148936170215</c:v>
                </c:pt>
                <c:pt idx="189">
                  <c:v>0.15238095238095239</c:v>
                </c:pt>
                <c:pt idx="190">
                  <c:v>0.15157894736842104</c:v>
                </c:pt>
                <c:pt idx="191">
                  <c:v>0.1507853403141361</c:v>
                </c:pt>
                <c:pt idx="192">
                  <c:v>0.14999999999999997</c:v>
                </c:pt>
                <c:pt idx="193">
                  <c:v>0.1492227979274611</c:v>
                </c:pt>
                <c:pt idx="194">
                  <c:v>0.14845360824742262</c:v>
                </c:pt>
                <c:pt idx="195">
                  <c:v>0.14769230769230762</c:v>
                </c:pt>
                <c:pt idx="196">
                  <c:v>0.14693877551020401</c:v>
                </c:pt>
                <c:pt idx="197">
                  <c:v>0.14619289340101516</c:v>
                </c:pt>
                <c:pt idx="198">
                  <c:v>0.14545454545454536</c:v>
                </c:pt>
                <c:pt idx="199">
                  <c:v>0.14472361809045217</c:v>
                </c:pt>
                <c:pt idx="200">
                  <c:v>0.14399999999999991</c:v>
                </c:pt>
                <c:pt idx="201">
                  <c:v>0.14328358208955211</c:v>
                </c:pt>
                <c:pt idx="202">
                  <c:v>0.14257425742574245</c:v>
                </c:pt>
                <c:pt idx="203">
                  <c:v>0.14187192118226588</c:v>
                </c:pt>
                <c:pt idx="204">
                  <c:v>0.14117647058823515</c:v>
                </c:pt>
                <c:pt idx="205">
                  <c:v>0.14048780487804863</c:v>
                </c:pt>
                <c:pt idx="206">
                  <c:v>0.13980582524271828</c:v>
                </c:pt>
                <c:pt idx="207">
                  <c:v>0.13913043478260853</c:v>
                </c:pt>
                <c:pt idx="208">
                  <c:v>0.13846153846153827</c:v>
                </c:pt>
                <c:pt idx="209">
                  <c:v>0.13779904306220078</c:v>
                </c:pt>
                <c:pt idx="210">
                  <c:v>0.13714285714285696</c:v>
                </c:pt>
                <c:pt idx="211">
                  <c:v>0.13649289099526046</c:v>
                </c:pt>
                <c:pt idx="212">
                  <c:v>0.13584905660377339</c:v>
                </c:pt>
                <c:pt idx="213">
                  <c:v>0.13521126760563359</c:v>
                </c:pt>
                <c:pt idx="214">
                  <c:v>0.13457943925233623</c:v>
                </c:pt>
                <c:pt idx="215">
                  <c:v>0.13395348837209281</c:v>
                </c:pt>
                <c:pt idx="216">
                  <c:v>0.13333333333333311</c:v>
                </c:pt>
                <c:pt idx="217">
                  <c:v>0.13271889400921635</c:v>
                </c:pt>
                <c:pt idx="218">
                  <c:v>0.13211009174311902</c:v>
                </c:pt>
                <c:pt idx="219">
                  <c:v>0.13150684931506823</c:v>
                </c:pt>
                <c:pt idx="220">
                  <c:v>0.13090909090909064</c:v>
                </c:pt>
                <c:pt idx="221">
                  <c:v>0.1303167420814477</c:v>
                </c:pt>
                <c:pt idx="222">
                  <c:v>0.12972972972972946</c:v>
                </c:pt>
                <c:pt idx="223">
                  <c:v>0.12914798206278</c:v>
                </c:pt>
                <c:pt idx="224">
                  <c:v>0.12857142857142828</c:v>
                </c:pt>
                <c:pt idx="225">
                  <c:v>0.12799999999999973</c:v>
                </c:pt>
                <c:pt idx="226">
                  <c:v>0.12743362831858379</c:v>
                </c:pt>
                <c:pt idx="227">
                  <c:v>0.12687224669603495</c:v>
                </c:pt>
                <c:pt idx="228">
                  <c:v>0.12631578947368391</c:v>
                </c:pt>
                <c:pt idx="229">
                  <c:v>0.12576419213973769</c:v>
                </c:pt>
                <c:pt idx="230">
                  <c:v>0.1252173913043475</c:v>
                </c:pt>
                <c:pt idx="231">
                  <c:v>0.12435149266318032</c:v>
                </c:pt>
                <c:pt idx="232">
                  <c:v>0.12328180737217535</c:v>
                </c:pt>
                <c:pt idx="233">
                  <c:v>0.12222586527657472</c:v>
                </c:pt>
                <c:pt idx="234">
                  <c:v>0.12118343195266207</c:v>
                </c:pt>
                <c:pt idx="235">
                  <c:v>0.12015427795382461</c:v>
                </c:pt>
                <c:pt idx="236">
                  <c:v>0.11913817868428546</c:v>
                </c:pt>
                <c:pt idx="237">
                  <c:v>0.11813491427655758</c:v>
                </c:pt>
                <c:pt idx="238">
                  <c:v>0.11714426947249421</c:v>
                </c:pt>
                <c:pt idx="239">
                  <c:v>0.11616603350781605</c:v>
                </c:pt>
                <c:pt idx="240">
                  <c:v>0.11519999999999932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DA-4811-AE77-8F2DC2E06643}"/>
            </c:ext>
          </c:extLst>
        </c:ser>
        <c:ser>
          <c:idx val="1"/>
          <c:order val="1"/>
          <c:tx>
            <c:v>Sax -Tux</c:v>
          </c:tx>
          <c:marker>
            <c:symbol val="square"/>
            <c:size val="7"/>
          </c:marker>
          <c:xVal>
            <c:numRef>
              <c:f>Análisis!$C$247</c:f>
              <c:numCache>
                <c:formatCode>0.000</c:formatCode>
                <c:ptCount val="1"/>
                <c:pt idx="0">
                  <c:v>0.99399999999999999</c:v>
                </c:pt>
              </c:numCache>
            </c:numRef>
          </c:xVal>
          <c:yVal>
            <c:numRef>
              <c:f>Análisis!$B$300</c:f>
              <c:numCache>
                <c:formatCode>0.000</c:formatCode>
                <c:ptCount val="1"/>
                <c:pt idx="0">
                  <c:v>0.8032233414765596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87-422A-A4BE-DCEF5356633B}"/>
            </c:ext>
          </c:extLst>
        </c:ser>
        <c:ser>
          <c:idx val="2"/>
          <c:order val="2"/>
          <c:tx>
            <c:v>Say - Tuy</c:v>
          </c:tx>
          <c:marker>
            <c:symbol val="square"/>
            <c:size val="7"/>
          </c:marker>
          <c:xVal>
            <c:numRef>
              <c:f>Análisis!$C$247</c:f>
              <c:numCache>
                <c:formatCode>0.000</c:formatCode>
                <c:ptCount val="1"/>
                <c:pt idx="0">
                  <c:v>0.99399999999999999</c:v>
                </c:pt>
              </c:numCache>
            </c:numRef>
          </c:xVal>
          <c:yVal>
            <c:numRef>
              <c:f>Análisis!$B$301</c:f>
              <c:numCache>
                <c:formatCode>0.000</c:formatCode>
                <c:ptCount val="1"/>
                <c:pt idx="0">
                  <c:v>0.89999999999999991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87-422A-A4BE-DCEF53566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89904"/>
        <c:axId val="1"/>
      </c:scatterChart>
      <c:valAx>
        <c:axId val="27289904"/>
        <c:scaling>
          <c:orientation val="minMax"/>
          <c:max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O"/>
                  <a:t>Periodo (Seg)</a:t>
                </a:r>
              </a:p>
            </c:rich>
          </c:tx>
          <c:layout>
            <c:manualLayout>
              <c:xMode val="edge"/>
              <c:yMode val="edge"/>
              <c:x val="0.40779934073897328"/>
              <c:y val="0.9294628341360242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O"/>
                  <a:t>Sa</a:t>
                </a:r>
              </a:p>
            </c:rich>
          </c:tx>
          <c:layout>
            <c:manualLayout>
              <c:xMode val="edge"/>
              <c:yMode val="edge"/>
              <c:x val="1.4553525927104229E-3"/>
              <c:y val="0.363465331396682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289904"/>
        <c:crosses val="autoZero"/>
        <c:crossBetween val="midCat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750087271624682"/>
          <c:y val="0.19930368368068851"/>
          <c:w val="0.25915756252932315"/>
          <c:h val="0.1590207627004239"/>
        </c:manualLayout>
      </c:layout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Comparación Cortantes Basales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5364031101686357"/>
          <c:y val="0.22838326680439525"/>
          <c:w val="0.81379774437039276"/>
          <c:h val="0.56302923960163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Análisis!$C$564</c:f>
              <c:strCache>
                <c:ptCount val="1"/>
                <c:pt idx="0">
                  <c:v>V_total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Análisis!$B$565:$B$566</c:f>
              <c:strCache>
                <c:ptCount val="2"/>
                <c:pt idx="0">
                  <c:v>SPECX</c:v>
                </c:pt>
                <c:pt idx="1">
                  <c:v>SPECY</c:v>
                </c:pt>
              </c:strCache>
            </c:strRef>
          </c:cat>
          <c:val>
            <c:numRef>
              <c:f>Análisis!$C$565:$C$566</c:f>
              <c:numCache>
                <c:formatCode>_(* #,##0.00_);_(* \(#,##0.00\);_(* "-"??_);_(@_)</c:formatCode>
                <c:ptCount val="2"/>
                <c:pt idx="0">
                  <c:v>52304</c:v>
                </c:pt>
                <c:pt idx="1">
                  <c:v>59286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8-45CE-8D46-575BF60712D7}"/>
            </c:ext>
          </c:extLst>
        </c:ser>
        <c:ser>
          <c:idx val="1"/>
          <c:order val="1"/>
          <c:tx>
            <c:strRef>
              <c:f>Análisis!$D$564</c:f>
              <c:strCache>
                <c:ptCount val="1"/>
                <c:pt idx="0">
                  <c:v>V_FHA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Análisis!$B$565:$B$566</c:f>
              <c:strCache>
                <c:ptCount val="2"/>
                <c:pt idx="0">
                  <c:v>SPECX</c:v>
                </c:pt>
                <c:pt idx="1">
                  <c:v>SPECY</c:v>
                </c:pt>
              </c:strCache>
            </c:strRef>
          </c:cat>
          <c:val>
            <c:numRef>
              <c:f>Análisis!$D$565:$D$566</c:f>
              <c:numCache>
                <c:formatCode>_ * #,##0.00_ ;_ * \-#,##0.00_ ;_ * "-"??_ ;_ @_ </c:formatCode>
                <c:ptCount val="2"/>
                <c:pt idx="0" formatCode="_(* #,##0.00_);_(* \(#,##0.00\);_(* &quot;-&quot;??_);_(@_)">
                  <c:v>83111.928899999999</c:v>
                </c:pt>
                <c:pt idx="1">
                  <c:v>93128.430500000002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8-45CE-8D46-575BF6071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779360"/>
        <c:axId val="890780192"/>
      </c:barChart>
      <c:lineChart>
        <c:grouping val="standard"/>
        <c:varyColors val="0"/>
        <c:ser>
          <c:idx val="2"/>
          <c:order val="2"/>
          <c:tx>
            <c:strRef>
              <c:f>Análisis!$E$564</c:f>
              <c:strCache>
                <c:ptCount val="1"/>
                <c:pt idx="0">
                  <c:v>V_Ajuste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Análisis!$B$565:$B$566</c:f>
              <c:strCache>
                <c:ptCount val="2"/>
                <c:pt idx="0">
                  <c:v>SPECX</c:v>
                </c:pt>
                <c:pt idx="1">
                  <c:v>SPECY</c:v>
                </c:pt>
              </c:strCache>
            </c:strRef>
          </c:cat>
          <c:val>
            <c:numRef>
              <c:f>Análisis!$E$565:$E$566</c:f>
              <c:numCache>
                <c:formatCode>_ * #,##0.00_ ;_ * \-#,##0.00_ ;_ * "-"??_ ;_ @_ </c:formatCode>
                <c:ptCount val="2"/>
                <c:pt idx="0" formatCode="_(* #,##0.00_);_(* \(#,##0.00\);_(* &quot;-&quot;??_);_(@_)">
                  <c:v>66489.543120000002</c:v>
                </c:pt>
                <c:pt idx="1">
                  <c:v>74502.744400000011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48-45CE-8D46-575BF6071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0779360"/>
        <c:axId val="890780192"/>
      </c:lineChart>
      <c:catAx>
        <c:axId val="89077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0780192"/>
        <c:crosses val="autoZero"/>
        <c:auto val="1"/>
        <c:lblAlgn val="ctr"/>
        <c:lblOffset val="100"/>
        <c:noMultiLvlLbl val="0"/>
      </c:catAx>
      <c:valAx>
        <c:axId val="89078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07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2.xml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0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wmf"/><Relationship Id="rId1" Type="http://schemas.openxmlformats.org/officeDocument/2006/relationships/image" Target="../media/image6.wmf"/><Relationship Id="rId4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630555</xdr:colOff>
      <xdr:row>0</xdr:row>
      <xdr:rowOff>123825</xdr:rowOff>
    </xdr:from>
    <xdr:to>
      <xdr:col>22</xdr:col>
      <xdr:colOff>97379</xdr:colOff>
      <xdr:row>35</xdr:row>
      <xdr:rowOff>21851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716280</xdr:colOff>
          <xdr:row>105</xdr:row>
          <xdr:rowOff>0</xdr:rowOff>
        </xdr:from>
        <xdr:to>
          <xdr:col>10</xdr:col>
          <xdr:colOff>175260</xdr:colOff>
          <xdr:row>105</xdr:row>
          <xdr:rowOff>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2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236220</xdr:colOff>
          <xdr:row>105</xdr:row>
          <xdr:rowOff>0</xdr:rowOff>
        </xdr:from>
        <xdr:to>
          <xdr:col>14</xdr:col>
          <xdr:colOff>0</xdr:colOff>
          <xdr:row>105</xdr:row>
          <xdr:rowOff>0</xdr:rowOff>
        </xdr:to>
        <xdr:sp macro="" textlink="">
          <xdr:nvSpPr>
            <xdr:cNvPr id="9219" name="Object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2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119</xdr:row>
      <xdr:rowOff>19958</xdr:rowOff>
    </xdr:from>
    <xdr:to>
      <xdr:col>5</xdr:col>
      <xdr:colOff>609600</xdr:colOff>
      <xdr:row>129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32</xdr:col>
      <xdr:colOff>202714</xdr:colOff>
      <xdr:row>137</xdr:row>
      <xdr:rowOff>0</xdr:rowOff>
    </xdr:from>
    <xdr:ext cx="2110300" cy="2206123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34564" y="23799832"/>
          <a:ext cx="2110300" cy="2206123"/>
        </a:xfrm>
        <a:prstGeom prst="rect">
          <a:avLst/>
        </a:prstGeom>
      </xdr:spPr>
    </xdr:pic>
    <xdr:clientData/>
  </xdr:oneCellAnchor>
  <xdr:oneCellAnchor>
    <xdr:from>
      <xdr:col>39</xdr:col>
      <xdr:colOff>152400</xdr:colOff>
      <xdr:row>137</xdr:row>
      <xdr:rowOff>0</xdr:rowOff>
    </xdr:from>
    <xdr:ext cx="2112765" cy="222146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605700" y="1041357"/>
          <a:ext cx="2112765" cy="2221460"/>
        </a:xfrm>
        <a:prstGeom prst="rect">
          <a:avLst/>
        </a:prstGeom>
      </xdr:spPr>
    </xdr:pic>
    <xdr:clientData/>
  </xdr:oneCellAnchor>
  <xdr:twoCellAnchor editAs="oneCell">
    <xdr:from>
      <xdr:col>4</xdr:col>
      <xdr:colOff>15240</xdr:colOff>
      <xdr:row>140</xdr:row>
      <xdr:rowOff>118805</xdr:rowOff>
    </xdr:from>
    <xdr:to>
      <xdr:col>7</xdr:col>
      <xdr:colOff>15240</xdr:colOff>
      <xdr:row>158</xdr:row>
      <xdr:rowOff>19050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10120"/>
        <a:stretch>
          <a:fillRect/>
        </a:stretch>
      </xdr:blipFill>
      <xdr:spPr>
        <a:xfrm>
          <a:off x="5029200" y="461705"/>
          <a:ext cx="2301240" cy="2921575"/>
        </a:xfrm>
        <a:prstGeom prst="rect">
          <a:avLst/>
        </a:prstGeom>
      </xdr:spPr>
    </xdr:pic>
    <xdr:clientData/>
  </xdr:twoCellAnchor>
  <xdr:twoCellAnchor editAs="oneCell">
    <xdr:from>
      <xdr:col>4</xdr:col>
      <xdr:colOff>167641</xdr:colOff>
      <xdr:row>169</xdr:row>
      <xdr:rowOff>110028</xdr:rowOff>
    </xdr:from>
    <xdr:to>
      <xdr:col>6</xdr:col>
      <xdr:colOff>701040</xdr:colOff>
      <xdr:row>183</xdr:row>
      <xdr:rowOff>135248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2624"/>
        <a:stretch>
          <a:fillRect/>
        </a:stretch>
      </xdr:blipFill>
      <xdr:spPr>
        <a:xfrm>
          <a:off x="5181601" y="4575348"/>
          <a:ext cx="2042159" cy="23683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610500</xdr:colOff>
      <xdr:row>28</xdr:row>
      <xdr:rowOff>30029</xdr:rowOff>
    </xdr:from>
    <xdr:to>
      <xdr:col>6</xdr:col>
      <xdr:colOff>58873</xdr:colOff>
      <xdr:row>41</xdr:row>
      <xdr:rowOff>131629</xdr:rowOff>
    </xdr:to>
    <xdr:pic>
      <xdr:nvPicPr>
        <xdr:cNvPr id="1367937" name="Picture 171">
          <a:extLst>
            <a:ext uri="{FF2B5EF4-FFF2-40B4-BE49-F238E27FC236}">
              <a16:creationId xmlns:a16="http://schemas.microsoft.com/office/drawing/2014/main" id="{00000000-0008-0000-0300-000081DF1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00" y="17679294"/>
          <a:ext cx="6222627" cy="3020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251460</xdr:colOff>
          <xdr:row>495</xdr:row>
          <xdr:rowOff>121920</xdr:rowOff>
        </xdr:from>
        <xdr:to>
          <xdr:col>1</xdr:col>
          <xdr:colOff>731520</xdr:colOff>
          <xdr:row>499</xdr:row>
          <xdr:rowOff>152400</xdr:rowOff>
        </xdr:to>
        <xdr:sp macro="" textlink="">
          <xdr:nvSpPr>
            <xdr:cNvPr id="5130" name="Object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3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251460</xdr:colOff>
          <xdr:row>495</xdr:row>
          <xdr:rowOff>121920</xdr:rowOff>
        </xdr:from>
        <xdr:to>
          <xdr:col>1</xdr:col>
          <xdr:colOff>731520</xdr:colOff>
          <xdr:row>499</xdr:row>
          <xdr:rowOff>152400</xdr:rowOff>
        </xdr:to>
        <xdr:sp macro="" textlink="">
          <xdr:nvSpPr>
            <xdr:cNvPr id="5282" name="Object 162" hidden="1">
              <a:extLst>
                <a:ext uri="{63B3BB69-23CF-44E3-9099-C40C66FF867C}">
                  <a14:compatExt spid="_x0000_s5282"/>
                </a:ext>
                <a:ext uri="{FF2B5EF4-FFF2-40B4-BE49-F238E27FC236}">
                  <a16:creationId xmlns:a16="http://schemas.microsoft.com/office/drawing/2014/main" id="{00000000-0008-0000-0300-0000A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144780</xdr:colOff>
          <xdr:row>522</xdr:row>
          <xdr:rowOff>7620</xdr:rowOff>
        </xdr:from>
        <xdr:to>
          <xdr:col>1</xdr:col>
          <xdr:colOff>883920</xdr:colOff>
          <xdr:row>523</xdr:row>
          <xdr:rowOff>60960</xdr:rowOff>
        </xdr:to>
        <xdr:sp macro="" textlink="">
          <xdr:nvSpPr>
            <xdr:cNvPr id="5283" name="Object 163" hidden="1">
              <a:extLst>
                <a:ext uri="{63B3BB69-23CF-44E3-9099-C40C66FF867C}">
                  <a14:compatExt spid="_x0000_s5283"/>
                </a:ext>
                <a:ext uri="{FF2B5EF4-FFF2-40B4-BE49-F238E27FC236}">
                  <a16:creationId xmlns:a16="http://schemas.microsoft.com/office/drawing/2014/main" id="{00000000-0008-0000-0300-0000A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213360</xdr:colOff>
          <xdr:row>8</xdr:row>
          <xdr:rowOff>83820</xdr:rowOff>
        </xdr:from>
        <xdr:to>
          <xdr:col>17</xdr:col>
          <xdr:colOff>754380</xdr:colOff>
          <xdr:row>8</xdr:row>
          <xdr:rowOff>83820</xdr:rowOff>
        </xdr:to>
        <xdr:sp macro="" textlink="">
          <xdr:nvSpPr>
            <xdr:cNvPr id="5529" name="Object 409" hidden="1">
              <a:extLst>
                <a:ext uri="{63B3BB69-23CF-44E3-9099-C40C66FF867C}">
                  <a14:compatExt spid="_x0000_s5529"/>
                </a:ext>
                <a:ext uri="{FF2B5EF4-FFF2-40B4-BE49-F238E27FC236}">
                  <a16:creationId xmlns:a16="http://schemas.microsoft.com/office/drawing/2014/main" id="{00000000-0008-0000-0300-00009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5</xdr:col>
      <xdr:colOff>647700</xdr:colOff>
      <xdr:row>848</xdr:row>
      <xdr:rowOff>0</xdr:rowOff>
    </xdr:from>
    <xdr:ext cx="65" cy="17222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4937760" y="1439138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5</xdr:col>
      <xdr:colOff>647700</xdr:colOff>
      <xdr:row>848</xdr:row>
      <xdr:rowOff>0</xdr:rowOff>
    </xdr:from>
    <xdr:ext cx="65" cy="172227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5059680" y="167093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5</xdr:col>
      <xdr:colOff>647700</xdr:colOff>
      <xdr:row>848</xdr:row>
      <xdr:rowOff>0</xdr:rowOff>
    </xdr:from>
    <xdr:ext cx="65" cy="172227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5059680" y="167093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5</xdr:col>
      <xdr:colOff>647700</xdr:colOff>
      <xdr:row>848</xdr:row>
      <xdr:rowOff>0</xdr:rowOff>
    </xdr:from>
    <xdr:ext cx="65" cy="17222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5059680" y="167093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5</xdr:col>
      <xdr:colOff>647700</xdr:colOff>
      <xdr:row>848</xdr:row>
      <xdr:rowOff>0</xdr:rowOff>
    </xdr:from>
    <xdr:ext cx="65" cy="172227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5059680" y="1674063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5</xdr:col>
      <xdr:colOff>647700</xdr:colOff>
      <xdr:row>848</xdr:row>
      <xdr:rowOff>0</xdr:rowOff>
    </xdr:from>
    <xdr:ext cx="65" cy="172227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5059680" y="165844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5</xdr:col>
      <xdr:colOff>647700</xdr:colOff>
      <xdr:row>848</xdr:row>
      <xdr:rowOff>0</xdr:rowOff>
    </xdr:from>
    <xdr:ext cx="65" cy="172227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5059680" y="168968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5</xdr:col>
      <xdr:colOff>647700</xdr:colOff>
      <xdr:row>848</xdr:row>
      <xdr:rowOff>0</xdr:rowOff>
    </xdr:from>
    <xdr:ext cx="65" cy="172227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5059680" y="170530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/>
        </a:p>
      </xdr:txBody>
    </xdr:sp>
    <xdr:clientData/>
  </xdr:oneCellAnchor>
  <xdr:twoCellAnchor editAs="absolute">
    <xdr:from>
      <xdr:col>0</xdr:col>
      <xdr:colOff>20872</xdr:colOff>
      <xdr:row>72</xdr:row>
      <xdr:rowOff>188962</xdr:rowOff>
    </xdr:from>
    <xdr:to>
      <xdr:col>5</xdr:col>
      <xdr:colOff>1009032</xdr:colOff>
      <xdr:row>90</xdr:row>
      <xdr:rowOff>1207</xdr:rowOff>
    </xdr:to>
    <xdr:graphicFrame macro="">
      <xdr:nvGraphicFramePr>
        <xdr:cNvPr id="1367946" name="7 Gráfico">
          <a:extLst>
            <a:ext uri="{FF2B5EF4-FFF2-40B4-BE49-F238E27FC236}">
              <a16:creationId xmlns:a16="http://schemas.microsoft.com/office/drawing/2014/main" id="{00000000-0008-0000-0300-00008ADF14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116</xdr:row>
      <xdr:rowOff>81643</xdr:rowOff>
    </xdr:from>
    <xdr:ext cx="1754461" cy="391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00000000-0008-0000-0300-000025000000}"/>
                </a:ext>
              </a:extLst>
            </xdr:cNvPr>
            <xdr:cNvSpPr txBox="1"/>
          </xdr:nvSpPr>
          <xdr:spPr>
            <a:xfrm>
              <a:off x="0" y="49486457"/>
              <a:ext cx="1754461" cy="391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Ω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den>
                    </m:f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±0.5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sub>
                    </m:sSub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7" name="CuadroTexto 36"/>
            <xdr:cNvSpPr txBox="1"/>
          </xdr:nvSpPr>
          <xdr:spPr>
            <a:xfrm>
              <a:off x="0" y="49486457"/>
              <a:ext cx="1754461" cy="391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𝐸=(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s-CO" sz="1100" b="0" i="0">
                  <a:latin typeface="Cambria Math" panose="02040503050406030204" pitchFamily="18" charset="0"/>
                </a:rPr>
                <a:t>0 𝐹_𝑠)/𝑅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±0.5𝐴_𝑎 𝐹_𝑎 𝐷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288471</xdr:colOff>
      <xdr:row>330</xdr:row>
      <xdr:rowOff>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697185" y="843016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5</xdr:col>
      <xdr:colOff>228600</xdr:colOff>
      <xdr:row>330</xdr:row>
      <xdr:rowOff>0</xdr:rowOff>
    </xdr:from>
    <xdr:ext cx="1131868" cy="10664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4637314" y="84426879"/>
              <a:ext cx="949554" cy="2086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=4700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4637314" y="84426879"/>
              <a:ext cx="949554" cy="2086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𝐸_𝑐=4700√(〖𝑓′〗_𝑐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352</xdr:row>
      <xdr:rowOff>59871</xdr:rowOff>
    </xdr:from>
    <xdr:ext cx="2547257" cy="5442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SpPr txBox="1"/>
          </xdr:nvSpPr>
          <xdr:spPr>
            <a:xfrm>
              <a:off x="0" y="89409814"/>
              <a:ext cx="2547257" cy="5442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𝑐𝑟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𝑎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begChr m:val="["/>
                        <m:endChr m:val="]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1−</m:t>
                            </m:r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𝑐𝑟</m:t>
                                        </m:r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𝑎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e>
                    </m:d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𝑐𝑟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4" name="CuadroTexto 33"/>
            <xdr:cNvSpPr txBox="1"/>
          </xdr:nvSpPr>
          <xdr:spPr>
            <a:xfrm>
              <a:off x="0" y="89409814"/>
              <a:ext cx="2547257" cy="5442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𝐼_</a:t>
              </a:r>
              <a:r>
                <a:rPr lang="es-CO" sz="1100" b="0" i="0">
                  <a:latin typeface="Cambria Math" panose="02040503050406030204" pitchFamily="18" charset="0"/>
                </a:rPr>
                <a:t>𝑒=(𝑀_𝑐𝑟/𝑀_𝑎 )^3 𝐼_𝑔+[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〖1−(𝑀_𝑐𝑟/𝑀_𝑎 )〗^3 ] 𝐼_𝑐𝑟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527957</xdr:colOff>
      <xdr:row>355</xdr:row>
      <xdr:rowOff>228599</xdr:rowOff>
    </xdr:from>
    <xdr:ext cx="827141" cy="3646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00000000-0008-0000-0300-000023000000}"/>
                </a:ext>
              </a:extLst>
            </xdr:cNvPr>
            <xdr:cNvSpPr txBox="1"/>
          </xdr:nvSpPr>
          <xdr:spPr>
            <a:xfrm>
              <a:off x="4114800" y="90264342"/>
              <a:ext cx="827141" cy="364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sub>
                        </m:sSub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5" name="CuadroTexto 34"/>
            <xdr:cNvSpPr txBox="1"/>
          </xdr:nvSpPr>
          <xdr:spPr>
            <a:xfrm>
              <a:off x="4114800" y="90264342"/>
              <a:ext cx="827141" cy="364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𝑀_𝑐𝑟=(𝑓_𝑟 𝐼_𝑔)/𝑦_𝑡 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266700</xdr:colOff>
      <xdr:row>356</xdr:row>
      <xdr:rowOff>109763</xdr:rowOff>
    </xdr:from>
    <xdr:ext cx="1092376" cy="2113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00000000-0008-0000-0300-000024000000}"/>
                </a:ext>
              </a:extLst>
            </xdr:cNvPr>
            <xdr:cNvSpPr txBox="1"/>
          </xdr:nvSpPr>
          <xdr:spPr>
            <a:xfrm>
              <a:off x="5497286" y="90374106"/>
              <a:ext cx="1092376" cy="2113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=0.62</m:t>
                    </m:r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𝜆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bSup>
                          <m:sSubSupPr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′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6" name="CuadroTexto 35"/>
            <xdr:cNvSpPr txBox="1"/>
          </xdr:nvSpPr>
          <xdr:spPr>
            <a:xfrm>
              <a:off x="5497286" y="90374106"/>
              <a:ext cx="1092376" cy="2113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𝑓_𝑟=0.62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𝜆√(𝑓_𝑐^′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685799</xdr:colOff>
      <xdr:row>570</xdr:row>
      <xdr:rowOff>29935</xdr:rowOff>
    </xdr:from>
    <xdr:ext cx="1094867" cy="10576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4321628" y="146578864"/>
              <a:ext cx="973215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sub>
                    </m:sSub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4321628" y="146578864"/>
              <a:ext cx="973215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𝑅=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∅_</a:t>
              </a:r>
              <a:r>
                <a:rPr lang="es-CO" sz="1100" b="0" i="0">
                  <a:latin typeface="Cambria Math" panose="02040503050406030204" pitchFamily="18" charset="0"/>
                </a:rPr>
                <a:t>𝑎 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∅_</a:t>
              </a:r>
              <a:r>
                <a:rPr lang="es-CO" sz="1100" b="0" i="0">
                  <a:latin typeface="Cambria Math" panose="02040503050406030204" pitchFamily="18" charset="0"/>
                </a:rPr>
                <a:t>𝑝 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∅_</a:t>
              </a:r>
              <a:r>
                <a:rPr lang="es-CO" sz="1100" b="0" i="0">
                  <a:latin typeface="Cambria Math" panose="02040503050406030204" pitchFamily="18" charset="0"/>
                </a:rPr>
                <a:t>𝑟 𝑅_0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103414</xdr:colOff>
      <xdr:row>657</xdr:row>
      <xdr:rowOff>24492</xdr:rowOff>
    </xdr:from>
    <xdr:ext cx="1556863" cy="10574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6264728" y="164616492"/>
              <a:ext cx="709746" cy="365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𝑐𝑚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𝑝𝑖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" name="CuadroTexto 4"/>
            <xdr:cNvSpPr txBox="1"/>
          </xdr:nvSpPr>
          <xdr:spPr>
            <a:xfrm>
              <a:off x="6264728" y="164616492"/>
              <a:ext cx="709746" cy="365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𝑄_𝑖=(𝑃_𝑖 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∆_</a:t>
              </a:r>
              <a:r>
                <a:rPr lang="es-CO" sz="1100" b="0" i="0">
                  <a:latin typeface="Cambria Math" panose="02040503050406030204" pitchFamily="18" charset="0"/>
                </a:rPr>
                <a:t>𝑐𝑚)/(𝑉_𝑖 ℎ_𝑝𝑖 )</a:t>
              </a:r>
              <a:endParaRPr lang="es-CO" sz="1100"/>
            </a:p>
          </xdr:txBody>
        </xdr:sp>
      </mc:Fallback>
    </mc:AlternateContent>
    <xdr:clientData/>
  </xdr:oneCellAnchor>
  <xdr:twoCellAnchor>
    <xdr:from>
      <xdr:col>10</xdr:col>
      <xdr:colOff>442885</xdr:colOff>
      <xdr:row>554</xdr:row>
      <xdr:rowOff>84342</xdr:rowOff>
    </xdr:from>
    <xdr:to>
      <xdr:col>15</xdr:col>
      <xdr:colOff>563534</xdr:colOff>
      <xdr:row>567</xdr:row>
      <xdr:rowOff>46383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236220</xdr:colOff>
          <xdr:row>493</xdr:row>
          <xdr:rowOff>83820</xdr:rowOff>
        </xdr:from>
        <xdr:to>
          <xdr:col>1</xdr:col>
          <xdr:colOff>830580</xdr:colOff>
          <xdr:row>495</xdr:row>
          <xdr:rowOff>160020</xdr:rowOff>
        </xdr:to>
        <xdr:sp macro="" textlink="">
          <xdr:nvSpPr>
            <xdr:cNvPr id="5531" name="Object 411" hidden="1">
              <a:extLst>
                <a:ext uri="{63B3BB69-23CF-44E3-9099-C40C66FF867C}">
                  <a14:compatExt spid="_x0000_s5531"/>
                </a:ext>
                <a:ext uri="{FF2B5EF4-FFF2-40B4-BE49-F238E27FC236}">
                  <a16:creationId xmlns:a16="http://schemas.microsoft.com/office/drawing/2014/main" id="{00000000-0008-0000-0300-00009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HE%20DCII%202_cata.xlsx" TargetMode="External"/><Relationship Id="rId2" Type="http://schemas.openxmlformats.org/officeDocument/2006/relationships/externalLinkPath" Target="file:///C:\Users\andre\Documents\ATRES_INGENIERIA\FHE%20DCII%202_cata.xlsx" TargetMode="External"/><Relationship Id="rId1" Type="http://schemas.openxmlformats.org/officeDocument/2006/relationships/externalLinkPath" Target="/Users/andre/Documents/ATRES_INGENIERIA/FHE%20DCII%202_c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ledu-my.sharepoint.com/personal/puribeb_unal_edu_co/Documents/Escritorio/UNAL/Ing.%20Civil/6to%20Semestre/AN&#193;LISIS%20ESTRUCTURAL%20AVANZADO/AVANZADO%203/EJEMPLO_FHE.xlsx" TargetMode="External"/><Relationship Id="rId1" Type="http://schemas.openxmlformats.org/officeDocument/2006/relationships/externalLinkPath" Target="https://unaledu-my.sharepoint.com/personal/puribeb_unal_edu_co/Documents/Escritorio/UNAL/Ing.%20Civil/6to%20Semestre/AN&#193;LISIS%20ESTRUCTURAL%20AVANZADO/AVANZADO%203/EJEMPLO_FHE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catra/Desktop/00.ALEJANDRO%20TRUJILLO/FHE%20DCII%20vf.xlsx" TargetMode="External"/><Relationship Id="rId2" Type="http://schemas.openxmlformats.org/officeDocument/2006/relationships/externalLinkPath" Target="file:///C:\Users\catra\Desktop\00.ALEJANDRO%20TRUJILLO\FHE%20DCII%20vf.xlsx" TargetMode="External"/><Relationship Id="rId1" Type="http://schemas.openxmlformats.org/officeDocument/2006/relationships/externalLinkPath" Target="/Users/catra/Desktop/00.ALEJANDRO%20TRUJILLO/FHE%20DCII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AS"/>
      <sheetName val="ESPECTRO DE DISEÑO"/>
      <sheetName val="MASA DEL EDIFICIO"/>
      <sheetName val="FHE"/>
      <sheetName val="DERIVAS"/>
      <sheetName val="TABLAS (2)"/>
    </sheetNames>
    <sheetDataSet>
      <sheetData sheetId="0"/>
      <sheetData sheetId="1">
        <row r="7">
          <cell r="C7">
            <v>0.25</v>
          </cell>
        </row>
        <row r="8">
          <cell r="C8">
            <v>0.25</v>
          </cell>
        </row>
        <row r="10">
          <cell r="C10" t="str">
            <v>D</v>
          </cell>
        </row>
        <row r="25">
          <cell r="C25">
            <v>0.78403684540250096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IFICIO"/>
      <sheetName val="DATOS PORTICOS"/>
      <sheetName val="ESPECTRO DE DISEÑO"/>
      <sheetName val="TABLAS"/>
      <sheetName val="MASA"/>
      <sheetName val="FHE"/>
      <sheetName val="DERIVAS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SPECTRO DE DISEÑO"/>
      <sheetName val="MASA DEL EDIFICIO"/>
      <sheetName val="FHE"/>
      <sheetName val="DERIVAS"/>
      <sheetName val="R"/>
      <sheetName val="CARGAS EN VIGAS"/>
      <sheetName val="TABLAS"/>
      <sheetName val="TABLAS (2)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1. Pórticos de concreto reforzado resistente a momentos</v>
          </cell>
        </row>
        <row r="3">
          <cell r="M3" t="str">
            <v>2. Pórticos de acero estructural resistente a momentos</v>
          </cell>
        </row>
        <row r="4">
          <cell r="M4" t="str">
            <v>3. Pórticos arriostrados de acero estructural</v>
          </cell>
        </row>
        <row r="5">
          <cell r="M5" t="str">
            <v>4. Sistema estructural basado en muros de rigidez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wmf"/><Relationship Id="rId13" Type="http://schemas.openxmlformats.org/officeDocument/2006/relationships/comments" Target="../comments2.xml"/><Relationship Id="rId3" Type="http://schemas.openxmlformats.org/officeDocument/2006/relationships/vmlDrawing" Target="../drawings/vmlDrawing2.vml"/><Relationship Id="rId7" Type="http://schemas.openxmlformats.org/officeDocument/2006/relationships/oleObject" Target="../embeddings/oleObject5.bin"/><Relationship Id="rId12" Type="http://schemas.openxmlformats.org/officeDocument/2006/relationships/image" Target="../media/image9.w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6.wmf"/><Relationship Id="rId10" Type="http://schemas.openxmlformats.org/officeDocument/2006/relationships/image" Target="../media/image8.emf"/><Relationship Id="rId4" Type="http://schemas.openxmlformats.org/officeDocument/2006/relationships/oleObject" Target="../embeddings/oleObject3.bin"/><Relationship Id="rId9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9584-0E4D-4361-9B56-482DD0F7537C}">
  <dimension ref="A1:AD1124"/>
  <sheetViews>
    <sheetView topLeftCell="D1" zoomScale="115" zoomScaleNormal="115" workbookViewId="0">
      <selection activeCell="K16" sqref="K16:L16"/>
    </sheetView>
  </sheetViews>
  <sheetFormatPr baseColWidth="10" defaultColWidth="10.88671875" defaultRowHeight="14.4" x14ac:dyDescent="0.3"/>
  <cols>
    <col min="1" max="1" width="27.33203125" style="320" bestFit="1" customWidth="1"/>
    <col min="2" max="2" width="18" style="320" bestFit="1" customWidth="1"/>
    <col min="3" max="3" width="16.109375" style="320" customWidth="1"/>
    <col min="4" max="4" width="12.5546875" style="320" customWidth="1"/>
    <col min="5" max="5" width="17.5546875" style="320" bestFit="1" customWidth="1"/>
    <col min="6" max="8" width="10.88671875" style="320"/>
    <col min="9" max="9" width="17.5546875" style="320" customWidth="1"/>
    <col min="10" max="10" width="44" style="320" bestFit="1" customWidth="1"/>
    <col min="11" max="11" width="12.77734375" style="320" customWidth="1"/>
    <col min="12" max="12" width="8.33203125" style="320" customWidth="1"/>
    <col min="13" max="13" width="3.33203125" style="320" customWidth="1"/>
    <col min="14" max="14" width="64.21875" style="320" bestFit="1" customWidth="1"/>
    <col min="15" max="17" width="10.88671875" style="320"/>
    <col min="18" max="18" width="11.33203125" style="320" customWidth="1"/>
    <col min="19" max="16384" width="10.88671875" style="320"/>
  </cols>
  <sheetData>
    <row r="1" spans="1:30" ht="15" thickBot="1" x14ac:dyDescent="0.35">
      <c r="A1" s="333" t="s">
        <v>1784</v>
      </c>
      <c r="B1" s="332" t="s">
        <v>1783</v>
      </c>
      <c r="C1" s="332" t="s">
        <v>1782</v>
      </c>
      <c r="D1" s="332" t="s">
        <v>1781</v>
      </c>
      <c r="E1" s="332" t="s">
        <v>1780</v>
      </c>
      <c r="F1" s="332" t="s">
        <v>1779</v>
      </c>
      <c r="G1" s="331" t="s">
        <v>1778</v>
      </c>
      <c r="N1" s="330" t="s">
        <v>698</v>
      </c>
      <c r="O1" s="341" t="s">
        <v>695</v>
      </c>
      <c r="P1" s="329" t="s">
        <v>696</v>
      </c>
    </row>
    <row r="2" spans="1:30" x14ac:dyDescent="0.3">
      <c r="A2" s="326" t="s">
        <v>1777</v>
      </c>
      <c r="B2" s="325">
        <v>5002</v>
      </c>
      <c r="C2" s="325">
        <v>0.15</v>
      </c>
      <c r="D2" s="325">
        <v>0.2</v>
      </c>
      <c r="E2" s="325" t="s">
        <v>747</v>
      </c>
      <c r="F2" s="325">
        <v>0.13</v>
      </c>
      <c r="G2" s="324">
        <v>7.0000000000000007E-2</v>
      </c>
      <c r="J2" s="493" t="s">
        <v>1852</v>
      </c>
      <c r="K2" s="493"/>
      <c r="L2" s="493"/>
      <c r="N2" s="345" t="s">
        <v>697</v>
      </c>
      <c r="O2" s="342">
        <v>4.7E-2</v>
      </c>
      <c r="P2" s="346">
        <v>0.9</v>
      </c>
      <c r="S2" t="s">
        <v>1789</v>
      </c>
      <c r="T2"/>
      <c r="U2"/>
      <c r="V2"/>
      <c r="W2"/>
      <c r="X2"/>
      <c r="Y2"/>
      <c r="Z2"/>
      <c r="AA2"/>
      <c r="AB2"/>
      <c r="AC2"/>
      <c r="AD2"/>
    </row>
    <row r="3" spans="1:30" x14ac:dyDescent="0.3">
      <c r="A3" s="326" t="s">
        <v>1776</v>
      </c>
      <c r="B3" s="325">
        <v>54003</v>
      </c>
      <c r="C3" s="325">
        <v>0.25</v>
      </c>
      <c r="D3" s="325">
        <v>0.2</v>
      </c>
      <c r="E3" s="325" t="s">
        <v>747</v>
      </c>
      <c r="F3" s="325">
        <v>7.0000000000000007E-2</v>
      </c>
      <c r="G3" s="324">
        <v>0.04</v>
      </c>
      <c r="N3" s="338" t="s">
        <v>1775</v>
      </c>
      <c r="O3" s="320">
        <v>7.1999999999999995E-2</v>
      </c>
      <c r="P3" s="337">
        <v>0.8</v>
      </c>
      <c r="S3" s="56" t="s">
        <v>1787</v>
      </c>
      <c r="T3" s="57">
        <v>0.05</v>
      </c>
      <c r="U3" s="57">
        <v>0.1</v>
      </c>
      <c r="V3" s="57">
        <v>0.15</v>
      </c>
      <c r="W3" s="57">
        <v>0.2</v>
      </c>
      <c r="X3" s="57">
        <v>0.25</v>
      </c>
      <c r="Y3" s="57">
        <v>0.3</v>
      </c>
      <c r="Z3" s="57">
        <v>0.35</v>
      </c>
      <c r="AA3" s="57">
        <v>0.4</v>
      </c>
      <c r="AB3" s="57">
        <v>0.45</v>
      </c>
      <c r="AC3" s="57">
        <v>0.5</v>
      </c>
      <c r="AD3" s="58"/>
    </row>
    <row r="4" spans="1:30" x14ac:dyDescent="0.3">
      <c r="A4" s="326" t="s">
        <v>1774</v>
      </c>
      <c r="B4" s="325">
        <v>5004</v>
      </c>
      <c r="C4" s="325">
        <v>0.2</v>
      </c>
      <c r="D4" s="325">
        <v>0.25</v>
      </c>
      <c r="E4" s="325" t="s">
        <v>747</v>
      </c>
      <c r="F4" s="325">
        <v>0.13</v>
      </c>
      <c r="G4" s="324">
        <v>7.0000000000000007E-2</v>
      </c>
      <c r="J4" s="348" t="s">
        <v>1871</v>
      </c>
      <c r="K4" s="496" t="s">
        <v>1840</v>
      </c>
      <c r="L4" s="497"/>
      <c r="N4" s="338" t="s">
        <v>1773</v>
      </c>
      <c r="O4" s="320">
        <v>7.2999999999999995E-2</v>
      </c>
      <c r="P4" s="337">
        <v>0.75</v>
      </c>
      <c r="S4" s="59" t="s">
        <v>17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>
        <v>0.8</v>
      </c>
      <c r="AC4">
        <v>0.8</v>
      </c>
      <c r="AD4" s="60"/>
    </row>
    <row r="5" spans="1:30" x14ac:dyDescent="0.3">
      <c r="A5" s="326" t="s">
        <v>1772</v>
      </c>
      <c r="B5" s="325">
        <v>50006</v>
      </c>
      <c r="C5" s="325">
        <v>0.3</v>
      </c>
      <c r="D5" s="325">
        <v>0.3</v>
      </c>
      <c r="E5" s="325" t="s">
        <v>747</v>
      </c>
      <c r="F5" s="325">
        <v>0.17</v>
      </c>
      <c r="G5" s="324">
        <v>0.06</v>
      </c>
      <c r="J5" s="351" t="s">
        <v>1841</v>
      </c>
      <c r="K5" s="498">
        <v>1.8</v>
      </c>
      <c r="L5" s="499"/>
      <c r="N5" s="338" t="s">
        <v>1771</v>
      </c>
      <c r="O5" s="320">
        <v>4.9000000000000002E-2</v>
      </c>
      <c r="P5" s="337">
        <v>0.75</v>
      </c>
      <c r="S5" s="59" t="s">
        <v>56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 s="60"/>
    </row>
    <row r="6" spans="1:30" ht="15" thickBot="1" x14ac:dyDescent="0.35">
      <c r="A6" s="326" t="s">
        <v>1770</v>
      </c>
      <c r="B6" s="325">
        <v>27006</v>
      </c>
      <c r="C6" s="325">
        <v>0.25</v>
      </c>
      <c r="D6" s="325">
        <v>0.25</v>
      </c>
      <c r="E6" s="325" t="s">
        <v>747</v>
      </c>
      <c r="F6" s="325">
        <v>0.09</v>
      </c>
      <c r="G6" s="324">
        <v>0.04</v>
      </c>
      <c r="J6" s="351" t="s">
        <v>1842</v>
      </c>
      <c r="K6" s="498">
        <v>2.5</v>
      </c>
      <c r="L6" s="499"/>
      <c r="N6" s="336" t="s">
        <v>1791</v>
      </c>
      <c r="O6" s="335">
        <f>+AVERAGE(O2,O5)</f>
        <v>4.8000000000000001E-2</v>
      </c>
      <c r="P6" s="334">
        <f>+AVERAGE(P2,P5)</f>
        <v>0.82499999999999996</v>
      </c>
      <c r="S6" s="59" t="s">
        <v>57</v>
      </c>
      <c r="T6">
        <v>1.2</v>
      </c>
      <c r="U6">
        <v>1.2</v>
      </c>
      <c r="V6">
        <v>1.2</v>
      </c>
      <c r="W6">
        <v>1.2</v>
      </c>
      <c r="X6">
        <v>1.1499999999999999</v>
      </c>
      <c r="Y6">
        <v>1.1000000000000001</v>
      </c>
      <c r="Z6">
        <v>1.05</v>
      </c>
      <c r="AA6">
        <v>1</v>
      </c>
      <c r="AB6">
        <v>1</v>
      </c>
      <c r="AC6">
        <v>1</v>
      </c>
      <c r="AD6" s="60"/>
    </row>
    <row r="7" spans="1:30" ht="15" thickBot="1" x14ac:dyDescent="0.35">
      <c r="A7" s="326" t="s">
        <v>1769</v>
      </c>
      <c r="B7" s="325">
        <v>41006</v>
      </c>
      <c r="C7" s="325">
        <v>0.3</v>
      </c>
      <c r="D7" s="325">
        <v>0.15</v>
      </c>
      <c r="E7" s="325" t="s">
        <v>747</v>
      </c>
      <c r="F7" s="325">
        <v>0.17</v>
      </c>
      <c r="G7" s="324">
        <v>0.06</v>
      </c>
      <c r="J7" s="351" t="s">
        <v>1843</v>
      </c>
      <c r="K7" s="498">
        <v>3.1</v>
      </c>
      <c r="L7" s="499"/>
      <c r="S7" s="59" t="s">
        <v>43</v>
      </c>
      <c r="T7">
        <v>1.6</v>
      </c>
      <c r="U7">
        <v>1.6</v>
      </c>
      <c r="V7">
        <v>1.5</v>
      </c>
      <c r="W7">
        <v>1.4</v>
      </c>
      <c r="X7">
        <v>1.3</v>
      </c>
      <c r="Y7">
        <v>1.2</v>
      </c>
      <c r="Z7">
        <v>1.1499999999999999</v>
      </c>
      <c r="AA7">
        <v>1.1000000000000001</v>
      </c>
      <c r="AB7">
        <v>1</v>
      </c>
      <c r="AC7">
        <v>0.9</v>
      </c>
      <c r="AD7" s="60"/>
    </row>
    <row r="8" spans="1:30" x14ac:dyDescent="0.3">
      <c r="A8" s="326" t="s">
        <v>1768</v>
      </c>
      <c r="B8" s="325">
        <v>13006</v>
      </c>
      <c r="C8" s="325">
        <v>0.15</v>
      </c>
      <c r="D8" s="325">
        <v>0.15</v>
      </c>
      <c r="E8" s="325" t="s">
        <v>719</v>
      </c>
      <c r="F8" s="325">
        <v>7.0000000000000007E-2</v>
      </c>
      <c r="G8" s="324">
        <v>0.04</v>
      </c>
      <c r="J8" s="351" t="s">
        <v>1844</v>
      </c>
      <c r="K8" s="498">
        <v>3.8</v>
      </c>
      <c r="L8" s="499"/>
      <c r="N8" s="358" t="s">
        <v>1829</v>
      </c>
      <c r="O8" s="359" t="s">
        <v>1821</v>
      </c>
      <c r="P8" s="360" t="s">
        <v>1832</v>
      </c>
      <c r="S8" s="59" t="s">
        <v>58</v>
      </c>
      <c r="T8">
        <v>2.5</v>
      </c>
      <c r="U8">
        <v>2.5</v>
      </c>
      <c r="V8">
        <f>+W8+(U8-W8)/2</f>
        <v>2.1</v>
      </c>
      <c r="W8">
        <v>1.7</v>
      </c>
      <c r="X8">
        <f>+Y8+(W8-Y8)/2</f>
        <v>1.45</v>
      </c>
      <c r="Y8">
        <v>1.2</v>
      </c>
      <c r="Z8">
        <f>+AA8+(Y8-AA8)/2</f>
        <v>1.05</v>
      </c>
      <c r="AA8">
        <v>0.9</v>
      </c>
      <c r="AB8">
        <v>0.9</v>
      </c>
      <c r="AC8">
        <v>0.9</v>
      </c>
      <c r="AD8" s="60"/>
    </row>
    <row r="9" spans="1:30" x14ac:dyDescent="0.3">
      <c r="A9" s="326" t="s">
        <v>1767</v>
      </c>
      <c r="B9" s="325">
        <v>41013</v>
      </c>
      <c r="C9" s="325">
        <v>0.3</v>
      </c>
      <c r="D9" s="325">
        <v>0.15</v>
      </c>
      <c r="E9" s="325" t="s">
        <v>747</v>
      </c>
      <c r="F9" s="325">
        <v>0.26</v>
      </c>
      <c r="G9" s="324">
        <v>0.08</v>
      </c>
      <c r="J9" s="352" t="s">
        <v>1845</v>
      </c>
      <c r="K9" s="494">
        <v>4.4000000000000004</v>
      </c>
      <c r="L9" s="495"/>
      <c r="N9" s="361" t="s">
        <v>1831</v>
      </c>
      <c r="O9" s="349">
        <v>5</v>
      </c>
      <c r="P9" s="362">
        <v>2.5</v>
      </c>
      <c r="S9" s="59" t="s">
        <v>59</v>
      </c>
      <c r="T9"/>
      <c r="U9"/>
      <c r="V9"/>
      <c r="W9"/>
      <c r="X9"/>
      <c r="Y9"/>
      <c r="Z9"/>
      <c r="AA9"/>
      <c r="AB9"/>
      <c r="AC9"/>
      <c r="AD9" s="60"/>
    </row>
    <row r="10" spans="1:30" x14ac:dyDescent="0.3">
      <c r="A10" s="326" t="s">
        <v>1766</v>
      </c>
      <c r="B10" s="325">
        <v>25001</v>
      </c>
      <c r="C10" s="325">
        <v>0.2</v>
      </c>
      <c r="D10" s="325">
        <v>0.2</v>
      </c>
      <c r="E10" s="325" t="s">
        <v>719</v>
      </c>
      <c r="F10" s="325">
        <v>0.11</v>
      </c>
      <c r="G10" s="324">
        <v>0.06</v>
      </c>
      <c r="N10" s="363" t="s">
        <v>1822</v>
      </c>
      <c r="O10" s="350">
        <v>3.5</v>
      </c>
      <c r="P10" s="364">
        <v>2.5</v>
      </c>
      <c r="S10" s="59" t="s">
        <v>60</v>
      </c>
      <c r="T10"/>
      <c r="U10"/>
      <c r="V10"/>
      <c r="W10"/>
      <c r="X10"/>
      <c r="Y10"/>
      <c r="Z10"/>
      <c r="AA10"/>
      <c r="AB10"/>
      <c r="AC10"/>
      <c r="AD10" s="60"/>
    </row>
    <row r="11" spans="1:30" x14ac:dyDescent="0.3">
      <c r="A11" s="326" t="s">
        <v>1765</v>
      </c>
      <c r="B11" s="325">
        <v>20011</v>
      </c>
      <c r="C11" s="325">
        <v>0.15</v>
      </c>
      <c r="D11" s="325">
        <v>0.15</v>
      </c>
      <c r="E11" s="325" t="s">
        <v>719</v>
      </c>
      <c r="F11" s="325">
        <v>0.08</v>
      </c>
      <c r="G11" s="324">
        <v>0.04</v>
      </c>
      <c r="N11" s="363" t="s">
        <v>1823</v>
      </c>
      <c r="O11" s="350">
        <v>2.5</v>
      </c>
      <c r="P11" s="364">
        <v>2.5</v>
      </c>
      <c r="S11" s="59" t="s">
        <v>61</v>
      </c>
      <c r="T11"/>
      <c r="U11"/>
      <c r="V11"/>
      <c r="W11"/>
      <c r="X11"/>
      <c r="Y11"/>
      <c r="Z11"/>
      <c r="AA11"/>
      <c r="AB11"/>
      <c r="AC11"/>
      <c r="AD11" s="60"/>
    </row>
    <row r="12" spans="1:30" x14ac:dyDescent="0.3">
      <c r="A12" s="326" t="s">
        <v>1764</v>
      </c>
      <c r="B12" s="325">
        <v>68013</v>
      </c>
      <c r="C12" s="325">
        <v>0.15</v>
      </c>
      <c r="D12" s="325">
        <v>0.2</v>
      </c>
      <c r="E12" s="325" t="s">
        <v>719</v>
      </c>
      <c r="F12" s="325">
        <v>0.17</v>
      </c>
      <c r="G12" s="324">
        <v>0.09</v>
      </c>
      <c r="J12" s="348" t="s">
        <v>1872</v>
      </c>
      <c r="K12" s="496" t="s">
        <v>1840</v>
      </c>
      <c r="L12" s="497"/>
      <c r="N12" s="363" t="s">
        <v>1824</v>
      </c>
      <c r="O12" s="350">
        <v>2</v>
      </c>
      <c r="P12" s="364">
        <v>2.5</v>
      </c>
      <c r="S12" s="59" t="s">
        <v>62</v>
      </c>
      <c r="T12"/>
      <c r="U12"/>
      <c r="V12"/>
      <c r="W12"/>
      <c r="X12"/>
      <c r="Y12"/>
      <c r="Z12"/>
      <c r="AA12"/>
      <c r="AB12"/>
      <c r="AC12"/>
      <c r="AD12" s="60"/>
    </row>
    <row r="13" spans="1:30" x14ac:dyDescent="0.3">
      <c r="A13" s="326" t="s">
        <v>1763</v>
      </c>
      <c r="B13" s="325">
        <v>17013</v>
      </c>
      <c r="C13" s="325">
        <v>0.25</v>
      </c>
      <c r="D13" s="325">
        <v>0.25</v>
      </c>
      <c r="E13" s="325" t="s">
        <v>747</v>
      </c>
      <c r="F13" s="325">
        <v>0.2</v>
      </c>
      <c r="G13" s="324">
        <v>0.1</v>
      </c>
      <c r="J13" s="351" t="s">
        <v>1846</v>
      </c>
      <c r="K13" s="498">
        <f>24*0.1</f>
        <v>2.4000000000000004</v>
      </c>
      <c r="L13" s="499"/>
      <c r="N13" s="363" t="s">
        <v>1825</v>
      </c>
      <c r="O13" s="350">
        <v>7</v>
      </c>
      <c r="P13" s="364">
        <v>3</v>
      </c>
      <c r="S13" s="61" t="s">
        <v>63</v>
      </c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3"/>
    </row>
    <row r="14" spans="1:30" x14ac:dyDescent="0.3">
      <c r="A14" s="326" t="s">
        <v>1762</v>
      </c>
      <c r="B14" s="325">
        <v>85010</v>
      </c>
      <c r="C14" s="325">
        <v>0.3</v>
      </c>
      <c r="D14" s="325">
        <v>0.2</v>
      </c>
      <c r="E14" s="325" t="s">
        <v>747</v>
      </c>
      <c r="F14" s="325">
        <v>0.14000000000000001</v>
      </c>
      <c r="G14" s="324">
        <v>0.06</v>
      </c>
      <c r="J14" s="443" t="s">
        <v>1946</v>
      </c>
      <c r="K14" s="498">
        <f>24*0.12</f>
        <v>2.88</v>
      </c>
      <c r="L14" s="499"/>
      <c r="N14" s="363" t="s">
        <v>1830</v>
      </c>
      <c r="O14" s="350">
        <v>5</v>
      </c>
      <c r="P14" s="364">
        <v>3</v>
      </c>
      <c r="S14" t="s">
        <v>1790</v>
      </c>
      <c r="T14"/>
      <c r="U14"/>
      <c r="V14"/>
      <c r="W14"/>
      <c r="X14"/>
      <c r="Y14"/>
      <c r="Z14"/>
      <c r="AA14"/>
      <c r="AB14"/>
      <c r="AC14"/>
      <c r="AD14"/>
    </row>
    <row r="15" spans="1:30" x14ac:dyDescent="0.3">
      <c r="A15" s="326" t="s">
        <v>1761</v>
      </c>
      <c r="B15" s="325">
        <v>20013</v>
      </c>
      <c r="C15" s="325">
        <v>0.1</v>
      </c>
      <c r="D15" s="325">
        <v>0.1</v>
      </c>
      <c r="E15" s="325" t="s">
        <v>743</v>
      </c>
      <c r="F15" s="325">
        <v>7.0000000000000007E-2</v>
      </c>
      <c r="G15" s="324">
        <v>0.04</v>
      </c>
      <c r="J15" s="351" t="s">
        <v>1847</v>
      </c>
      <c r="K15" s="498">
        <f>24*0.15</f>
        <v>3.5999999999999996</v>
      </c>
      <c r="L15" s="499"/>
      <c r="N15" s="363" t="s">
        <v>1826</v>
      </c>
      <c r="O15" s="350">
        <v>7</v>
      </c>
      <c r="P15" s="364">
        <v>3</v>
      </c>
      <c r="S15" s="56" t="s">
        <v>1788</v>
      </c>
      <c r="T15" s="57">
        <v>0.05</v>
      </c>
      <c r="U15" s="57">
        <v>0.1</v>
      </c>
      <c r="V15" s="57">
        <v>0.15</v>
      </c>
      <c r="W15" s="57">
        <v>0.2</v>
      </c>
      <c r="X15" s="57">
        <v>0.25</v>
      </c>
      <c r="Y15" s="57">
        <v>0.3</v>
      </c>
      <c r="Z15" s="57">
        <v>0.35</v>
      </c>
      <c r="AA15" s="57">
        <v>0.4</v>
      </c>
      <c r="AB15" s="57">
        <v>0.45</v>
      </c>
      <c r="AC15" s="57">
        <v>0.5</v>
      </c>
      <c r="AD15" s="58"/>
    </row>
    <row r="16" spans="1:30" x14ac:dyDescent="0.3">
      <c r="A16" s="326" t="s">
        <v>1760</v>
      </c>
      <c r="B16" s="325">
        <v>41016</v>
      </c>
      <c r="C16" s="325">
        <v>0.25</v>
      </c>
      <c r="D16" s="325">
        <v>0.25</v>
      </c>
      <c r="E16" s="325" t="s">
        <v>747</v>
      </c>
      <c r="F16" s="325">
        <v>0.14000000000000001</v>
      </c>
      <c r="G16" s="324">
        <v>0.05</v>
      </c>
      <c r="J16" s="443" t="s">
        <v>1947</v>
      </c>
      <c r="K16" s="498">
        <f>24*0.16</f>
        <v>3.84</v>
      </c>
      <c r="L16" s="499"/>
      <c r="N16" s="363" t="s">
        <v>1827</v>
      </c>
      <c r="O16" s="350">
        <v>1.5</v>
      </c>
      <c r="P16" s="364">
        <v>1.5</v>
      </c>
      <c r="S16" s="59" t="s">
        <v>17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 s="60"/>
    </row>
    <row r="17" spans="1:30" ht="15" thickBot="1" x14ac:dyDescent="0.35">
      <c r="A17" s="326" t="s">
        <v>1759</v>
      </c>
      <c r="B17" s="325">
        <v>52019</v>
      </c>
      <c r="C17" s="325">
        <v>0.25</v>
      </c>
      <c r="D17" s="325">
        <v>0.25</v>
      </c>
      <c r="E17" s="325" t="s">
        <v>747</v>
      </c>
      <c r="F17" s="325">
        <v>0.16</v>
      </c>
      <c r="G17" s="324">
        <v>0.08</v>
      </c>
      <c r="J17" s="351" t="s">
        <v>1848</v>
      </c>
      <c r="K17" s="498">
        <f>24*0.2</f>
        <v>4.8000000000000007</v>
      </c>
      <c r="L17" s="499"/>
      <c r="N17" s="365" t="s">
        <v>1828</v>
      </c>
      <c r="O17" s="366">
        <v>2.5</v>
      </c>
      <c r="P17" s="367">
        <v>2</v>
      </c>
      <c r="S17" s="59" t="s">
        <v>56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 s="60"/>
    </row>
    <row r="18" spans="1:30" x14ac:dyDescent="0.3">
      <c r="A18" s="326" t="s">
        <v>1759</v>
      </c>
      <c r="B18" s="325">
        <v>25019</v>
      </c>
      <c r="C18" s="325">
        <v>0.15</v>
      </c>
      <c r="D18" s="325">
        <v>0.2</v>
      </c>
      <c r="E18" s="325" t="s">
        <v>719</v>
      </c>
      <c r="F18" s="325">
        <v>0.16</v>
      </c>
      <c r="G18" s="324">
        <v>0.06</v>
      </c>
      <c r="J18" s="351" t="s">
        <v>1849</v>
      </c>
      <c r="K18" s="498">
        <f>24*0.25</f>
        <v>6</v>
      </c>
      <c r="L18" s="499"/>
      <c r="S18" s="59" t="s">
        <v>57</v>
      </c>
      <c r="T18">
        <v>1.7</v>
      </c>
      <c r="U18">
        <v>1.7</v>
      </c>
      <c r="V18">
        <v>1.65</v>
      </c>
      <c r="W18">
        <v>1.6</v>
      </c>
      <c r="X18">
        <v>1.55</v>
      </c>
      <c r="Y18">
        <v>1.5</v>
      </c>
      <c r="Z18">
        <v>1.45</v>
      </c>
      <c r="AA18">
        <v>1.4</v>
      </c>
      <c r="AB18">
        <v>1.35</v>
      </c>
      <c r="AC18">
        <v>1.3</v>
      </c>
      <c r="AD18" s="60"/>
    </row>
    <row r="19" spans="1:30" x14ac:dyDescent="0.3">
      <c r="A19" s="326" t="s">
        <v>1758</v>
      </c>
      <c r="B19" s="325">
        <v>44035</v>
      </c>
      <c r="C19" s="325">
        <v>0.1</v>
      </c>
      <c r="D19" s="325">
        <v>0.1</v>
      </c>
      <c r="E19" s="325" t="s">
        <v>743</v>
      </c>
      <c r="F19" s="325">
        <v>0.08</v>
      </c>
      <c r="G19" s="324">
        <v>0.04</v>
      </c>
      <c r="J19" s="352" t="s">
        <v>1850</v>
      </c>
      <c r="K19" s="494">
        <f>24*0.3</f>
        <v>7.1999999999999993</v>
      </c>
      <c r="L19" s="495"/>
      <c r="S19" s="59" t="s">
        <v>43</v>
      </c>
      <c r="T19">
        <v>2.4</v>
      </c>
      <c r="U19">
        <v>2.4</v>
      </c>
      <c r="V19">
        <v>2.2000000000000002</v>
      </c>
      <c r="W19">
        <v>2</v>
      </c>
      <c r="X19">
        <v>1.9</v>
      </c>
      <c r="Y19">
        <v>1.8</v>
      </c>
      <c r="Z19">
        <v>1.7</v>
      </c>
      <c r="AA19">
        <v>1.6</v>
      </c>
      <c r="AB19">
        <v>1.55</v>
      </c>
      <c r="AC19">
        <v>1.5</v>
      </c>
      <c r="AD19" s="60"/>
    </row>
    <row r="20" spans="1:30" x14ac:dyDescent="0.3">
      <c r="A20" s="326" t="s">
        <v>1758</v>
      </c>
      <c r="B20" s="325">
        <v>18029</v>
      </c>
      <c r="C20" s="325">
        <v>0.15</v>
      </c>
      <c r="D20" s="325">
        <v>0.15</v>
      </c>
      <c r="E20" s="325" t="s">
        <v>719</v>
      </c>
      <c r="F20" s="325">
        <v>0.06</v>
      </c>
      <c r="G20" s="324">
        <v>0.04</v>
      </c>
      <c r="R20" s="328"/>
      <c r="S20" s="59" t="s">
        <v>58</v>
      </c>
      <c r="T20">
        <v>3.5</v>
      </c>
      <c r="U20">
        <v>3.5</v>
      </c>
      <c r="V20">
        <f>+W20+(U20-W20)/2</f>
        <v>3.35</v>
      </c>
      <c r="W20">
        <v>3.2</v>
      </c>
      <c r="X20">
        <f>+Y20+(W20-Y20)/2</f>
        <v>3</v>
      </c>
      <c r="Y20">
        <v>2.8</v>
      </c>
      <c r="Z20">
        <f>+AA20+(Y20-AA20)/2</f>
        <v>2.5999999999999996</v>
      </c>
      <c r="AA20">
        <v>2.4</v>
      </c>
      <c r="AB20">
        <f>+AC20+(AA20-AC20)/2</f>
        <v>2.4</v>
      </c>
      <c r="AC20">
        <v>2.4</v>
      </c>
      <c r="AD20" s="60"/>
    </row>
    <row r="21" spans="1:30" x14ac:dyDescent="0.3">
      <c r="A21" s="326" t="s">
        <v>1758</v>
      </c>
      <c r="B21" s="325">
        <v>68020</v>
      </c>
      <c r="C21" s="325">
        <v>0.15</v>
      </c>
      <c r="D21" s="325">
        <v>0.15</v>
      </c>
      <c r="E21" s="325" t="s">
        <v>719</v>
      </c>
      <c r="F21" s="325">
        <v>0.09</v>
      </c>
      <c r="G21" s="324">
        <v>0.06</v>
      </c>
      <c r="I21" s="493" t="s">
        <v>1853</v>
      </c>
      <c r="J21" s="493"/>
      <c r="K21" s="493"/>
      <c r="L21" s="371"/>
      <c r="S21" s="59" t="s">
        <v>59</v>
      </c>
      <c r="T21"/>
      <c r="U21"/>
      <c r="V21"/>
      <c r="W21"/>
      <c r="X21"/>
      <c r="Y21"/>
      <c r="Z21"/>
      <c r="AA21"/>
      <c r="AB21"/>
      <c r="AC21"/>
      <c r="AD21" s="60"/>
    </row>
    <row r="22" spans="1:30" ht="15" thickBot="1" x14ac:dyDescent="0.35">
      <c r="A22" s="326" t="s">
        <v>1757</v>
      </c>
      <c r="B22" s="325">
        <v>76020</v>
      </c>
      <c r="C22" s="325">
        <v>0.25</v>
      </c>
      <c r="D22" s="325">
        <v>0.25</v>
      </c>
      <c r="E22" s="325" t="s">
        <v>747</v>
      </c>
      <c r="F22" s="325">
        <v>0.16</v>
      </c>
      <c r="G22" s="324">
        <v>0.1</v>
      </c>
      <c r="I22" s="327" t="s">
        <v>1874</v>
      </c>
      <c r="J22" s="327" t="s">
        <v>1873</v>
      </c>
      <c r="K22" s="320" t="s">
        <v>1875</v>
      </c>
      <c r="S22" s="59" t="s">
        <v>60</v>
      </c>
      <c r="T22"/>
      <c r="U22"/>
      <c r="V22"/>
      <c r="W22"/>
      <c r="X22"/>
      <c r="Y22"/>
      <c r="Z22"/>
      <c r="AA22"/>
      <c r="AB22"/>
      <c r="AC22"/>
      <c r="AD22" s="60"/>
    </row>
    <row r="23" spans="1:30" x14ac:dyDescent="0.3">
      <c r="A23" s="326" t="s">
        <v>1756</v>
      </c>
      <c r="B23" s="325">
        <v>52022</v>
      </c>
      <c r="C23" s="325">
        <v>0.25</v>
      </c>
      <c r="D23" s="325">
        <v>0.25</v>
      </c>
      <c r="E23" s="325" t="s">
        <v>747</v>
      </c>
      <c r="F23" s="325">
        <v>0.14000000000000001</v>
      </c>
      <c r="G23" s="324">
        <v>0.08</v>
      </c>
      <c r="I23" s="372" t="s">
        <v>1854</v>
      </c>
      <c r="J23" s="373" t="s">
        <v>1855</v>
      </c>
      <c r="K23" s="374">
        <v>5</v>
      </c>
      <c r="S23" s="59" t="s">
        <v>61</v>
      </c>
      <c r="T23"/>
      <c r="U23"/>
      <c r="V23"/>
      <c r="W23"/>
      <c r="X23"/>
      <c r="Y23"/>
      <c r="Z23"/>
      <c r="AA23"/>
      <c r="AB23"/>
      <c r="AC23"/>
      <c r="AD23" s="60"/>
    </row>
    <row r="24" spans="1:30" x14ac:dyDescent="0.3">
      <c r="A24" s="326" t="s">
        <v>1755</v>
      </c>
      <c r="B24" s="325">
        <v>5021</v>
      </c>
      <c r="C24" s="325">
        <v>0.15</v>
      </c>
      <c r="D24" s="325">
        <v>0.2</v>
      </c>
      <c r="E24" s="325" t="s">
        <v>719</v>
      </c>
      <c r="F24" s="325">
        <v>0.09</v>
      </c>
      <c r="G24" s="324">
        <v>0.05</v>
      </c>
      <c r="I24" s="375" t="s">
        <v>1854</v>
      </c>
      <c r="J24" s="343" t="s">
        <v>1856</v>
      </c>
      <c r="K24" s="376">
        <v>5</v>
      </c>
      <c r="R24" s="328"/>
      <c r="S24" s="59" t="s">
        <v>62</v>
      </c>
      <c r="T24"/>
      <c r="U24"/>
      <c r="V24"/>
      <c r="W24"/>
      <c r="X24"/>
      <c r="Y24"/>
      <c r="Z24"/>
      <c r="AA24"/>
      <c r="AB24"/>
      <c r="AC24"/>
      <c r="AD24" s="60"/>
    </row>
    <row r="25" spans="1:30" x14ac:dyDescent="0.3">
      <c r="A25" s="326" t="s">
        <v>1754</v>
      </c>
      <c r="B25" s="325">
        <v>47030</v>
      </c>
      <c r="C25" s="325">
        <v>0.1</v>
      </c>
      <c r="D25" s="325">
        <v>0.1</v>
      </c>
      <c r="E25" s="325" t="s">
        <v>743</v>
      </c>
      <c r="F25" s="325">
        <v>0.05</v>
      </c>
      <c r="G25" s="324">
        <v>0.02</v>
      </c>
      <c r="I25" s="375" t="s">
        <v>1854</v>
      </c>
      <c r="J25" s="343" t="s">
        <v>1857</v>
      </c>
      <c r="K25" s="376">
        <v>3</v>
      </c>
      <c r="S25" s="61" t="s">
        <v>63</v>
      </c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3"/>
    </row>
    <row r="26" spans="1:30" x14ac:dyDescent="0.3">
      <c r="A26" s="326" t="s">
        <v>1753</v>
      </c>
      <c r="B26" s="325">
        <v>41020</v>
      </c>
      <c r="C26" s="325">
        <v>0.3</v>
      </c>
      <c r="D26" s="325">
        <v>0.2</v>
      </c>
      <c r="E26" s="325" t="s">
        <v>747</v>
      </c>
      <c r="F26" s="325">
        <v>0.2</v>
      </c>
      <c r="G26" s="324">
        <v>0.08</v>
      </c>
      <c r="I26" s="375" t="s">
        <v>1854</v>
      </c>
      <c r="J26" s="343" t="s">
        <v>1858</v>
      </c>
      <c r="K26" s="376">
        <v>5</v>
      </c>
      <c r="S26" s="56" t="s">
        <v>64</v>
      </c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5"/>
    </row>
    <row r="27" spans="1:30" ht="15" thickBot="1" x14ac:dyDescent="0.35">
      <c r="A27" s="326" t="s">
        <v>1752</v>
      </c>
      <c r="B27" s="325">
        <v>19022</v>
      </c>
      <c r="C27" s="325">
        <v>0.25</v>
      </c>
      <c r="D27" s="325">
        <v>0.25</v>
      </c>
      <c r="E27" s="325" t="s">
        <v>747</v>
      </c>
      <c r="F27" s="325">
        <v>0.16</v>
      </c>
      <c r="G27" s="324">
        <v>0.08</v>
      </c>
      <c r="I27" s="377" t="s">
        <v>1854</v>
      </c>
      <c r="J27" s="344" t="s">
        <v>1859</v>
      </c>
      <c r="K27" s="378">
        <v>5</v>
      </c>
      <c r="S27" s="66">
        <v>1</v>
      </c>
      <c r="T27" s="67" t="s">
        <v>65</v>
      </c>
      <c r="U27"/>
      <c r="V27"/>
      <c r="W27"/>
      <c r="X27"/>
      <c r="Y27"/>
      <c r="Z27"/>
      <c r="AA27"/>
      <c r="AB27"/>
      <c r="AC27"/>
      <c r="AD27" s="60"/>
    </row>
    <row r="28" spans="1:30" x14ac:dyDescent="0.3">
      <c r="A28" s="326" t="s">
        <v>1751</v>
      </c>
      <c r="B28" s="325">
        <v>15022</v>
      </c>
      <c r="C28" s="325">
        <v>0.25</v>
      </c>
      <c r="D28" s="325">
        <v>0.25</v>
      </c>
      <c r="E28" s="325" t="s">
        <v>747</v>
      </c>
      <c r="F28" s="325">
        <v>0.16</v>
      </c>
      <c r="G28" s="324">
        <v>0.08</v>
      </c>
      <c r="I28" s="372" t="s">
        <v>690</v>
      </c>
      <c r="J28" s="373" t="s">
        <v>1856</v>
      </c>
      <c r="K28" s="374">
        <v>3</v>
      </c>
      <c r="S28" s="66">
        <v>1.1000000000000001</v>
      </c>
      <c r="T28" s="67" t="s">
        <v>41</v>
      </c>
      <c r="U28"/>
      <c r="V28"/>
      <c r="W28"/>
      <c r="X28"/>
      <c r="Y28"/>
      <c r="Z28"/>
      <c r="AA28"/>
      <c r="AB28"/>
      <c r="AC28"/>
      <c r="AD28" s="60"/>
    </row>
    <row r="29" spans="1:30" x14ac:dyDescent="0.3">
      <c r="A29" s="326" t="s">
        <v>1750</v>
      </c>
      <c r="B29" s="325">
        <v>73024</v>
      </c>
      <c r="C29" s="325">
        <v>0.25</v>
      </c>
      <c r="D29" s="325">
        <v>0.25</v>
      </c>
      <c r="E29" s="325" t="s">
        <v>747</v>
      </c>
      <c r="F29" s="325">
        <v>0.14000000000000001</v>
      </c>
      <c r="G29" s="324">
        <v>7.0000000000000007E-2</v>
      </c>
      <c r="I29" s="375" t="s">
        <v>690</v>
      </c>
      <c r="J29" s="343" t="s">
        <v>690</v>
      </c>
      <c r="K29" s="376">
        <v>2</v>
      </c>
      <c r="S29" s="66">
        <v>1.25</v>
      </c>
      <c r="T29" s="67" t="s">
        <v>66</v>
      </c>
      <c r="U29"/>
      <c r="V29"/>
      <c r="W29"/>
      <c r="X29"/>
      <c r="Y29"/>
      <c r="Z29"/>
      <c r="AA29"/>
      <c r="AB29"/>
      <c r="AC29"/>
      <c r="AD29" s="60"/>
    </row>
    <row r="30" spans="1:30" ht="15" thickBot="1" x14ac:dyDescent="0.35">
      <c r="A30" s="326" t="s">
        <v>1749</v>
      </c>
      <c r="B30" s="325">
        <v>41026</v>
      </c>
      <c r="C30" s="325">
        <v>0.3</v>
      </c>
      <c r="D30" s="325">
        <v>0.15</v>
      </c>
      <c r="E30" s="325" t="s">
        <v>747</v>
      </c>
      <c r="F30" s="325">
        <v>0.2</v>
      </c>
      <c r="G30" s="324">
        <v>0.08</v>
      </c>
      <c r="I30" s="377" t="s">
        <v>690</v>
      </c>
      <c r="J30" s="344" t="s">
        <v>1860</v>
      </c>
      <c r="K30" s="378">
        <v>5</v>
      </c>
      <c r="S30" s="68">
        <v>1.5</v>
      </c>
      <c r="T30" s="69" t="s">
        <v>67</v>
      </c>
      <c r="U30" s="62"/>
      <c r="V30" s="62"/>
      <c r="W30" s="62"/>
      <c r="X30" s="62"/>
      <c r="Y30" s="62"/>
      <c r="Z30" s="62"/>
      <c r="AA30" s="62"/>
      <c r="AB30" s="62"/>
      <c r="AC30" s="62"/>
      <c r="AD30" s="63"/>
    </row>
    <row r="31" spans="1:30" x14ac:dyDescent="0.3">
      <c r="A31" s="326" t="s">
        <v>1748</v>
      </c>
      <c r="B31" s="325">
        <v>27025</v>
      </c>
      <c r="C31" s="325">
        <v>0.4</v>
      </c>
      <c r="D31" s="325">
        <v>0.4</v>
      </c>
      <c r="E31" s="325" t="s">
        <v>747</v>
      </c>
      <c r="F31" s="325">
        <v>0.24</v>
      </c>
      <c r="G31" s="324">
        <v>0.1</v>
      </c>
      <c r="I31" s="372" t="s">
        <v>1862</v>
      </c>
      <c r="J31" s="373" t="s">
        <v>1861</v>
      </c>
      <c r="K31" s="374">
        <v>2</v>
      </c>
    </row>
    <row r="32" spans="1:30" x14ac:dyDescent="0.3">
      <c r="A32" s="326" t="s">
        <v>1747</v>
      </c>
      <c r="B32" s="325">
        <v>13030</v>
      </c>
      <c r="C32" s="325">
        <v>0.15</v>
      </c>
      <c r="D32" s="325">
        <v>0.15</v>
      </c>
      <c r="E32" s="325" t="s">
        <v>719</v>
      </c>
      <c r="F32" s="325">
        <v>0.06</v>
      </c>
      <c r="G32" s="324">
        <v>0.03</v>
      </c>
      <c r="I32" s="375" t="s">
        <v>1862</v>
      </c>
      <c r="J32" s="343" t="s">
        <v>1856</v>
      </c>
      <c r="K32" s="376">
        <v>5</v>
      </c>
    </row>
    <row r="33" spans="1:11" x14ac:dyDescent="0.3">
      <c r="A33" s="326" t="s">
        <v>1746</v>
      </c>
      <c r="B33" s="325">
        <v>73026</v>
      </c>
      <c r="C33" s="325">
        <v>0.2</v>
      </c>
      <c r="D33" s="325">
        <v>0.2</v>
      </c>
      <c r="E33" s="325" t="s">
        <v>719</v>
      </c>
      <c r="F33" s="325">
        <v>0.13</v>
      </c>
      <c r="G33" s="324">
        <v>7.0000000000000007E-2</v>
      </c>
      <c r="I33" s="375" t="s">
        <v>1862</v>
      </c>
      <c r="J33" s="343" t="s">
        <v>1876</v>
      </c>
      <c r="K33" s="376">
        <v>2</v>
      </c>
    </row>
    <row r="34" spans="1:11" ht="15" thickBot="1" x14ac:dyDescent="0.35">
      <c r="A34" s="326" t="s">
        <v>1745</v>
      </c>
      <c r="B34" s="325">
        <v>5030</v>
      </c>
      <c r="C34" s="325">
        <v>0.15</v>
      </c>
      <c r="D34" s="325">
        <v>0.2</v>
      </c>
      <c r="E34" s="325" t="s">
        <v>747</v>
      </c>
      <c r="F34" s="325">
        <v>0.16</v>
      </c>
      <c r="G34" s="324">
        <v>0.09</v>
      </c>
      <c r="I34" s="377" t="s">
        <v>1862</v>
      </c>
      <c r="J34" s="344" t="s">
        <v>1877</v>
      </c>
      <c r="K34" s="378">
        <v>7</v>
      </c>
    </row>
    <row r="35" spans="1:11" x14ac:dyDescent="0.3">
      <c r="A35" s="326" t="s">
        <v>1744</v>
      </c>
      <c r="B35" s="325">
        <v>5031</v>
      </c>
      <c r="C35" s="325">
        <v>0.15</v>
      </c>
      <c r="D35" s="325">
        <v>0.2</v>
      </c>
      <c r="E35" s="325" t="s">
        <v>719</v>
      </c>
      <c r="F35" s="325">
        <v>7.0000000000000007E-2</v>
      </c>
      <c r="G35" s="324">
        <v>0.04</v>
      </c>
      <c r="I35" s="372" t="s">
        <v>1863</v>
      </c>
      <c r="J35" s="373" t="s">
        <v>1855</v>
      </c>
      <c r="K35" s="374">
        <v>5</v>
      </c>
    </row>
    <row r="36" spans="1:11" x14ac:dyDescent="0.3">
      <c r="A36" s="326" t="s">
        <v>1743</v>
      </c>
      <c r="B36" s="325">
        <v>73030</v>
      </c>
      <c r="C36" s="325">
        <v>0.2</v>
      </c>
      <c r="D36" s="325">
        <v>0.2</v>
      </c>
      <c r="E36" s="325" t="s">
        <v>719</v>
      </c>
      <c r="F36" s="325">
        <v>0.1</v>
      </c>
      <c r="G36" s="324">
        <v>0.06</v>
      </c>
      <c r="I36" s="375" t="s">
        <v>1863</v>
      </c>
      <c r="J36" s="343" t="s">
        <v>1864</v>
      </c>
      <c r="K36" s="376">
        <v>1.8</v>
      </c>
    </row>
    <row r="37" spans="1:11" ht="15" thickBot="1" x14ac:dyDescent="0.35">
      <c r="A37" s="326" t="s">
        <v>1742</v>
      </c>
      <c r="B37" s="325">
        <v>25035</v>
      </c>
      <c r="C37" s="325">
        <v>0.15</v>
      </c>
      <c r="D37" s="325">
        <v>0.2</v>
      </c>
      <c r="E37" s="325" t="s">
        <v>719</v>
      </c>
      <c r="F37" s="325">
        <v>0.13</v>
      </c>
      <c r="G37" s="324">
        <v>0.06</v>
      </c>
      <c r="I37" s="377" t="s">
        <v>1863</v>
      </c>
      <c r="J37" s="344" t="s">
        <v>1865</v>
      </c>
      <c r="K37" s="378">
        <v>3</v>
      </c>
    </row>
    <row r="38" spans="1:11" x14ac:dyDescent="0.3">
      <c r="A38" s="326" t="s">
        <v>1741</v>
      </c>
      <c r="B38" s="325">
        <v>52036</v>
      </c>
      <c r="C38" s="325">
        <v>0.25</v>
      </c>
      <c r="D38" s="325">
        <v>0.25</v>
      </c>
      <c r="E38" s="325" t="s">
        <v>747</v>
      </c>
      <c r="F38" s="325">
        <v>0.15</v>
      </c>
      <c r="G38" s="324">
        <v>0.08</v>
      </c>
      <c r="I38" s="372" t="s">
        <v>703</v>
      </c>
      <c r="J38" s="373" t="s">
        <v>1866</v>
      </c>
      <c r="K38" s="374">
        <v>6</v>
      </c>
    </row>
    <row r="39" spans="1:11" ht="15" thickBot="1" x14ac:dyDescent="0.35">
      <c r="A39" s="326" t="s">
        <v>1740</v>
      </c>
      <c r="B39" s="325">
        <v>76036</v>
      </c>
      <c r="C39" s="325">
        <v>0.25</v>
      </c>
      <c r="D39" s="325">
        <v>0.25</v>
      </c>
      <c r="E39" s="325" t="s">
        <v>747</v>
      </c>
      <c r="F39" s="325">
        <v>0.14000000000000001</v>
      </c>
      <c r="G39" s="324">
        <v>0.09</v>
      </c>
      <c r="I39" s="377" t="s">
        <v>703</v>
      </c>
      <c r="J39" s="344" t="s">
        <v>1867</v>
      </c>
      <c r="K39" s="378">
        <v>12</v>
      </c>
    </row>
    <row r="40" spans="1:11" x14ac:dyDescent="0.3">
      <c r="A40" s="326" t="s">
        <v>1739</v>
      </c>
      <c r="B40" s="325">
        <v>5034</v>
      </c>
      <c r="C40" s="325">
        <v>0.25</v>
      </c>
      <c r="D40" s="325">
        <v>0.3</v>
      </c>
      <c r="E40" s="325" t="s">
        <v>747</v>
      </c>
      <c r="F40" s="325">
        <v>0.17</v>
      </c>
      <c r="G40" s="324">
        <v>0.1</v>
      </c>
      <c r="I40" s="372" t="s">
        <v>1870</v>
      </c>
      <c r="J40" s="373" t="s">
        <v>1868</v>
      </c>
      <c r="K40" s="374">
        <v>2.5</v>
      </c>
    </row>
    <row r="41" spans="1:11" ht="15" thickBot="1" x14ac:dyDescent="0.35">
      <c r="A41" s="326" t="s">
        <v>1738</v>
      </c>
      <c r="B41" s="325">
        <v>5036</v>
      </c>
      <c r="C41" s="325">
        <v>0.2</v>
      </c>
      <c r="D41" s="325">
        <v>0.25</v>
      </c>
      <c r="E41" s="325" t="s">
        <v>747</v>
      </c>
      <c r="F41" s="325">
        <v>0.16</v>
      </c>
      <c r="G41" s="324">
        <v>0.08</v>
      </c>
      <c r="I41" s="377" t="s">
        <v>1870</v>
      </c>
      <c r="J41" s="344" t="s">
        <v>1869</v>
      </c>
      <c r="K41" s="378">
        <v>5</v>
      </c>
    </row>
    <row r="42" spans="1:11" x14ac:dyDescent="0.3">
      <c r="A42" s="326" t="s">
        <v>1737</v>
      </c>
      <c r="B42" s="325">
        <v>5038</v>
      </c>
      <c r="C42" s="325">
        <v>0.15</v>
      </c>
      <c r="D42" s="325">
        <v>0.2</v>
      </c>
      <c r="E42" s="325" t="s">
        <v>719</v>
      </c>
      <c r="F42" s="325">
        <v>0.09</v>
      </c>
      <c r="G42" s="324">
        <v>0.04</v>
      </c>
    </row>
    <row r="43" spans="1:11" x14ac:dyDescent="0.3">
      <c r="A43" s="326" t="s">
        <v>1736</v>
      </c>
      <c r="B43" s="325">
        <v>25040</v>
      </c>
      <c r="C43" s="325">
        <v>0.15</v>
      </c>
      <c r="D43" s="325">
        <v>0.2</v>
      </c>
      <c r="E43" s="325" t="s">
        <v>719</v>
      </c>
      <c r="F43" s="325">
        <v>0.16</v>
      </c>
      <c r="G43" s="324">
        <v>0.06</v>
      </c>
      <c r="I43" s="327" t="s">
        <v>1854</v>
      </c>
      <c r="J43" s="320" t="s">
        <v>1856</v>
      </c>
      <c r="K43" s="320" cm="1">
        <f t="array" ref="K43">+_xlfn.XLOOKUP(1,(I23:I41=I43) * (J23:J41=J43),K23:K41,"No encontrado")</f>
        <v>5</v>
      </c>
    </row>
    <row r="44" spans="1:11" x14ac:dyDescent="0.3">
      <c r="A44" s="326" t="s">
        <v>1735</v>
      </c>
      <c r="B44" s="325">
        <v>5040</v>
      </c>
      <c r="C44" s="325">
        <v>0.15</v>
      </c>
      <c r="D44" s="325">
        <v>0.2</v>
      </c>
      <c r="E44" s="325" t="s">
        <v>719</v>
      </c>
      <c r="F44" s="325">
        <v>7.0000000000000007E-2</v>
      </c>
      <c r="G44" s="324">
        <v>0.04</v>
      </c>
    </row>
    <row r="45" spans="1:11" x14ac:dyDescent="0.3">
      <c r="A45" s="326" t="s">
        <v>1734</v>
      </c>
      <c r="B45" s="325">
        <v>17042</v>
      </c>
      <c r="C45" s="325">
        <v>0.25</v>
      </c>
      <c r="D45" s="325">
        <v>0.3</v>
      </c>
      <c r="E45" s="325" t="s">
        <v>747</v>
      </c>
      <c r="F45" s="325">
        <v>0.2</v>
      </c>
      <c r="G45" s="324">
        <v>0.1</v>
      </c>
    </row>
    <row r="46" spans="1:11" x14ac:dyDescent="0.3">
      <c r="A46" s="326" t="s">
        <v>1733</v>
      </c>
      <c r="B46" s="325">
        <v>76041</v>
      </c>
      <c r="C46" s="325">
        <v>0.25</v>
      </c>
      <c r="D46" s="325">
        <v>0.3</v>
      </c>
      <c r="E46" s="325" t="s">
        <v>747</v>
      </c>
      <c r="F46" s="325">
        <v>0.16</v>
      </c>
      <c r="G46" s="324">
        <v>0.1</v>
      </c>
    </row>
    <row r="47" spans="1:11" x14ac:dyDescent="0.3">
      <c r="A47" s="326" t="s">
        <v>1732</v>
      </c>
      <c r="B47" s="325">
        <v>5044</v>
      </c>
      <c r="C47" s="325">
        <v>0.2</v>
      </c>
      <c r="D47" s="325">
        <v>0.25</v>
      </c>
      <c r="E47" s="325" t="s">
        <v>747</v>
      </c>
      <c r="F47" s="325">
        <v>0.14000000000000001</v>
      </c>
      <c r="G47" s="324">
        <v>0.08</v>
      </c>
    </row>
    <row r="48" spans="1:11" x14ac:dyDescent="0.3">
      <c r="A48" s="326" t="s">
        <v>1731</v>
      </c>
      <c r="B48" s="325">
        <v>73043</v>
      </c>
      <c r="C48" s="325">
        <v>0.2</v>
      </c>
      <c r="D48" s="325">
        <v>0.2</v>
      </c>
      <c r="E48" s="325" t="s">
        <v>719</v>
      </c>
      <c r="F48" s="325">
        <v>0.13</v>
      </c>
      <c r="G48" s="324">
        <v>0.08</v>
      </c>
    </row>
    <row r="49" spans="1:7" x14ac:dyDescent="0.3">
      <c r="A49" s="326" t="s">
        <v>1730</v>
      </c>
      <c r="B49" s="325">
        <v>5045</v>
      </c>
      <c r="C49" s="325">
        <v>0.25</v>
      </c>
      <c r="D49" s="325">
        <v>0.25</v>
      </c>
      <c r="E49" s="325" t="s">
        <v>747</v>
      </c>
      <c r="F49" s="325">
        <v>0.19</v>
      </c>
      <c r="G49" s="324">
        <v>0.09</v>
      </c>
    </row>
    <row r="50" spans="1:7" x14ac:dyDescent="0.3">
      <c r="A50" s="326" t="s">
        <v>1729</v>
      </c>
      <c r="B50" s="325">
        <v>66045</v>
      </c>
      <c r="C50" s="325">
        <v>0.3</v>
      </c>
      <c r="D50" s="325">
        <v>0.3</v>
      </c>
      <c r="E50" s="325" t="s">
        <v>747</v>
      </c>
      <c r="F50" s="325">
        <v>0.2</v>
      </c>
      <c r="G50" s="324">
        <v>0.1</v>
      </c>
    </row>
    <row r="51" spans="1:7" x14ac:dyDescent="0.3">
      <c r="A51" s="326" t="s">
        <v>1728</v>
      </c>
      <c r="B51" s="325">
        <v>25599</v>
      </c>
      <c r="C51" s="325">
        <v>0.2</v>
      </c>
      <c r="D51" s="325">
        <v>0.2</v>
      </c>
      <c r="E51" s="325" t="s">
        <v>719</v>
      </c>
      <c r="F51" s="325">
        <v>0.12</v>
      </c>
      <c r="G51" s="324">
        <v>0.06</v>
      </c>
    </row>
    <row r="52" spans="1:7" x14ac:dyDescent="0.3">
      <c r="A52" s="326" t="s">
        <v>1727</v>
      </c>
      <c r="B52" s="325">
        <v>15047</v>
      </c>
      <c r="C52" s="325">
        <v>0.25</v>
      </c>
      <c r="D52" s="325">
        <v>0.3</v>
      </c>
      <c r="E52" s="325" t="s">
        <v>747</v>
      </c>
      <c r="F52" s="325">
        <v>0.16</v>
      </c>
      <c r="G52" s="324">
        <v>0.08</v>
      </c>
    </row>
    <row r="53" spans="1:7" x14ac:dyDescent="0.3">
      <c r="A53" s="326" t="s">
        <v>1726</v>
      </c>
      <c r="B53" s="325">
        <v>47053</v>
      </c>
      <c r="C53" s="325">
        <v>0.1</v>
      </c>
      <c r="D53" s="325">
        <v>0.1</v>
      </c>
      <c r="E53" s="325" t="s">
        <v>743</v>
      </c>
      <c r="F53" s="325">
        <v>0.04</v>
      </c>
      <c r="G53" s="324">
        <v>0.02</v>
      </c>
    </row>
    <row r="54" spans="1:7" x14ac:dyDescent="0.3">
      <c r="A54" s="326" t="s">
        <v>1725</v>
      </c>
      <c r="B54" s="325">
        <v>17050</v>
      </c>
      <c r="C54" s="325">
        <v>0.25</v>
      </c>
      <c r="D54" s="325">
        <v>0.25</v>
      </c>
      <c r="E54" s="325" t="s">
        <v>747</v>
      </c>
      <c r="F54" s="325">
        <v>0.19</v>
      </c>
      <c r="G54" s="324">
        <v>0.09</v>
      </c>
    </row>
    <row r="55" spans="1:7" x14ac:dyDescent="0.3">
      <c r="A55" s="326" t="s">
        <v>1724</v>
      </c>
      <c r="B55" s="325">
        <v>68051</v>
      </c>
      <c r="C55" s="325">
        <v>0.25</v>
      </c>
      <c r="D55" s="325">
        <v>0.25</v>
      </c>
      <c r="E55" s="325" t="s">
        <v>747</v>
      </c>
      <c r="F55" s="325">
        <v>0.11</v>
      </c>
      <c r="G55" s="324">
        <v>7.0000000000000007E-2</v>
      </c>
    </row>
    <row r="56" spans="1:7" x14ac:dyDescent="0.3">
      <c r="A56" s="326" t="s">
        <v>1723</v>
      </c>
      <c r="B56" s="325">
        <v>81001</v>
      </c>
      <c r="C56" s="325">
        <v>0.15</v>
      </c>
      <c r="D56" s="325">
        <v>0.15</v>
      </c>
      <c r="E56" s="325" t="s">
        <v>719</v>
      </c>
      <c r="F56" s="325">
        <v>0.1</v>
      </c>
      <c r="G56" s="324">
        <v>0.04</v>
      </c>
    </row>
    <row r="57" spans="1:7" x14ac:dyDescent="0.3">
      <c r="A57" s="326" t="s">
        <v>1722</v>
      </c>
      <c r="B57" s="325">
        <v>81065</v>
      </c>
      <c r="C57" s="325">
        <v>0.2</v>
      </c>
      <c r="D57" s="325">
        <v>0.15</v>
      </c>
      <c r="E57" s="325" t="s">
        <v>719</v>
      </c>
      <c r="F57" s="325">
        <v>7.0000000000000007E-2</v>
      </c>
      <c r="G57" s="324">
        <v>0.03</v>
      </c>
    </row>
    <row r="58" spans="1:7" x14ac:dyDescent="0.3">
      <c r="A58" s="326" t="s">
        <v>1721</v>
      </c>
      <c r="B58" s="325">
        <v>25053</v>
      </c>
      <c r="C58" s="325">
        <v>0.2</v>
      </c>
      <c r="D58" s="325">
        <v>0.2</v>
      </c>
      <c r="E58" s="325" t="s">
        <v>719</v>
      </c>
      <c r="F58" s="325">
        <v>0.09</v>
      </c>
      <c r="G58" s="324">
        <v>0.05</v>
      </c>
    </row>
    <row r="59" spans="1:7" x14ac:dyDescent="0.3">
      <c r="A59" s="326" t="s">
        <v>1720</v>
      </c>
      <c r="B59" s="325">
        <v>52051</v>
      </c>
      <c r="C59" s="325">
        <v>0.25</v>
      </c>
      <c r="D59" s="325">
        <v>0.25</v>
      </c>
      <c r="E59" s="325" t="s">
        <v>747</v>
      </c>
      <c r="F59" s="325">
        <v>0.15</v>
      </c>
      <c r="G59" s="324">
        <v>0.08</v>
      </c>
    </row>
    <row r="60" spans="1:7" x14ac:dyDescent="0.3">
      <c r="A60" s="326" t="s">
        <v>1719</v>
      </c>
      <c r="B60" s="325">
        <v>54051</v>
      </c>
      <c r="C60" s="325">
        <v>0.3</v>
      </c>
      <c r="D60" s="325">
        <v>0.25</v>
      </c>
      <c r="E60" s="325" t="s">
        <v>747</v>
      </c>
      <c r="F60" s="325">
        <v>0.08</v>
      </c>
      <c r="G60" s="324">
        <v>0.04</v>
      </c>
    </row>
    <row r="61" spans="1:7" x14ac:dyDescent="0.3">
      <c r="A61" s="326" t="s">
        <v>1718</v>
      </c>
      <c r="B61" s="325">
        <v>5051</v>
      </c>
      <c r="C61" s="325">
        <v>0.1</v>
      </c>
      <c r="D61" s="325">
        <v>0.2</v>
      </c>
      <c r="E61" s="325" t="s">
        <v>719</v>
      </c>
      <c r="F61" s="325">
        <v>0.05</v>
      </c>
      <c r="G61" s="324">
        <v>0.03</v>
      </c>
    </row>
    <row r="62" spans="1:7" x14ac:dyDescent="0.3">
      <c r="A62" s="326" t="s">
        <v>1717</v>
      </c>
      <c r="B62" s="325">
        <v>15051</v>
      </c>
      <c r="C62" s="325">
        <v>0.2</v>
      </c>
      <c r="D62" s="325">
        <v>0.2</v>
      </c>
      <c r="E62" s="325" t="s">
        <v>719</v>
      </c>
      <c r="F62" s="325">
        <v>0.09</v>
      </c>
      <c r="G62" s="324">
        <v>0.05</v>
      </c>
    </row>
    <row r="63" spans="1:7" x14ac:dyDescent="0.3">
      <c r="A63" s="326" t="s">
        <v>1716</v>
      </c>
      <c r="B63" s="325">
        <v>13042</v>
      </c>
      <c r="C63" s="325">
        <v>0.15</v>
      </c>
      <c r="D63" s="325">
        <v>0.15</v>
      </c>
      <c r="E63" s="325" t="s">
        <v>719</v>
      </c>
      <c r="F63" s="325">
        <v>0.05</v>
      </c>
      <c r="G63" s="324">
        <v>0.04</v>
      </c>
    </row>
    <row r="64" spans="1:7" x14ac:dyDescent="0.3">
      <c r="A64" s="326" t="s">
        <v>1715</v>
      </c>
      <c r="B64" s="325">
        <v>19050</v>
      </c>
      <c r="C64" s="325">
        <v>0.35</v>
      </c>
      <c r="D64" s="325">
        <v>0.25</v>
      </c>
      <c r="E64" s="325" t="s">
        <v>747</v>
      </c>
      <c r="F64" s="325">
        <v>0.09</v>
      </c>
      <c r="G64" s="324">
        <v>0.06</v>
      </c>
    </row>
    <row r="65" spans="1:7" x14ac:dyDescent="0.3">
      <c r="A65" s="326" t="s">
        <v>1715</v>
      </c>
      <c r="B65" s="325">
        <v>76054</v>
      </c>
      <c r="C65" s="325">
        <v>0.3</v>
      </c>
      <c r="D65" s="325">
        <v>0.3</v>
      </c>
      <c r="E65" s="325" t="s">
        <v>747</v>
      </c>
      <c r="F65" s="325">
        <v>0.16</v>
      </c>
      <c r="G65" s="324">
        <v>0.1</v>
      </c>
    </row>
    <row r="66" spans="1:7" x14ac:dyDescent="0.3">
      <c r="A66" s="326" t="s">
        <v>1715</v>
      </c>
      <c r="B66" s="325">
        <v>5055</v>
      </c>
      <c r="C66" s="325">
        <v>0.15</v>
      </c>
      <c r="D66" s="325">
        <v>0.2</v>
      </c>
      <c r="E66" s="325" t="s">
        <v>719</v>
      </c>
      <c r="F66" s="325">
        <v>0.12</v>
      </c>
      <c r="G66" s="324">
        <v>7.0000000000000007E-2</v>
      </c>
    </row>
    <row r="67" spans="1:7" x14ac:dyDescent="0.3">
      <c r="A67" s="326" t="s">
        <v>1714</v>
      </c>
      <c r="B67" s="325">
        <v>47058</v>
      </c>
      <c r="C67" s="325">
        <v>0.1</v>
      </c>
      <c r="D67" s="325">
        <v>0.1</v>
      </c>
      <c r="E67" s="325" t="s">
        <v>743</v>
      </c>
      <c r="F67" s="325">
        <v>0.04</v>
      </c>
      <c r="G67" s="324">
        <v>0.02</v>
      </c>
    </row>
    <row r="68" spans="1:7" x14ac:dyDescent="0.3">
      <c r="A68" s="326" t="s">
        <v>1713</v>
      </c>
      <c r="B68" s="325">
        <v>13052</v>
      </c>
      <c r="C68" s="325">
        <v>0.1</v>
      </c>
      <c r="D68" s="325">
        <v>0.1</v>
      </c>
      <c r="E68" s="325" t="s">
        <v>743</v>
      </c>
      <c r="F68" s="325">
        <v>0.05</v>
      </c>
      <c r="G68" s="324">
        <v>0.03</v>
      </c>
    </row>
    <row r="69" spans="1:7" x14ac:dyDescent="0.3">
      <c r="A69" s="326" t="s">
        <v>1712</v>
      </c>
      <c r="B69" s="325">
        <v>5059</v>
      </c>
      <c r="C69" s="325">
        <v>0.2</v>
      </c>
      <c r="D69" s="325">
        <v>0.25</v>
      </c>
      <c r="E69" s="325" t="s">
        <v>747</v>
      </c>
      <c r="F69" s="325">
        <v>0.15</v>
      </c>
      <c r="G69" s="324">
        <v>0.08</v>
      </c>
    </row>
    <row r="70" spans="1:7" x14ac:dyDescent="0.3">
      <c r="A70" s="326" t="s">
        <v>1712</v>
      </c>
      <c r="B70" s="325">
        <v>63001</v>
      </c>
      <c r="C70" s="325">
        <v>0.25</v>
      </c>
      <c r="D70" s="325">
        <v>0.25</v>
      </c>
      <c r="E70" s="325" t="s">
        <v>747</v>
      </c>
      <c r="F70" s="325">
        <v>0.2</v>
      </c>
      <c r="G70" s="324">
        <v>0.1</v>
      </c>
    </row>
    <row r="71" spans="1:7" x14ac:dyDescent="0.3">
      <c r="A71" s="326" t="s">
        <v>1711</v>
      </c>
      <c r="B71" s="325">
        <v>73055</v>
      </c>
      <c r="C71" s="325">
        <v>0.2</v>
      </c>
      <c r="D71" s="325">
        <v>0.2</v>
      </c>
      <c r="E71" s="325" t="s">
        <v>719</v>
      </c>
      <c r="F71" s="325">
        <v>0.1</v>
      </c>
      <c r="G71" s="324">
        <v>0.06</v>
      </c>
    </row>
    <row r="72" spans="1:7" x14ac:dyDescent="0.3">
      <c r="A72" s="326" t="s">
        <v>1710</v>
      </c>
      <c r="B72" s="325">
        <v>13062</v>
      </c>
      <c r="C72" s="325">
        <v>0.1</v>
      </c>
      <c r="D72" s="325">
        <v>0.1</v>
      </c>
      <c r="E72" s="325" t="s">
        <v>743</v>
      </c>
      <c r="F72" s="325">
        <v>7.0000000000000007E-2</v>
      </c>
      <c r="G72" s="324">
        <v>0.04</v>
      </c>
    </row>
    <row r="73" spans="1:7" x14ac:dyDescent="0.3">
      <c r="A73" s="326" t="s">
        <v>1709</v>
      </c>
      <c r="B73" s="325">
        <v>20032</v>
      </c>
      <c r="C73" s="325">
        <v>0.1</v>
      </c>
      <c r="D73" s="325">
        <v>0.1</v>
      </c>
      <c r="E73" s="325" t="s">
        <v>743</v>
      </c>
      <c r="F73" s="325">
        <v>0.08</v>
      </c>
      <c r="G73" s="324">
        <v>0.04</v>
      </c>
    </row>
    <row r="74" spans="1:7" x14ac:dyDescent="0.3">
      <c r="A74" s="326" t="s">
        <v>1708</v>
      </c>
      <c r="B74" s="325">
        <v>73067</v>
      </c>
      <c r="C74" s="325">
        <v>0.25</v>
      </c>
      <c r="D74" s="325">
        <v>0.2</v>
      </c>
      <c r="E74" s="325" t="s">
        <v>747</v>
      </c>
      <c r="F74" s="325">
        <v>7.0000000000000007E-2</v>
      </c>
      <c r="G74" s="324">
        <v>0.04</v>
      </c>
    </row>
    <row r="75" spans="1:7" x14ac:dyDescent="0.3">
      <c r="A75" s="326" t="s">
        <v>1707</v>
      </c>
      <c r="B75" s="325">
        <v>27050</v>
      </c>
      <c r="C75" s="325">
        <v>0.35</v>
      </c>
      <c r="D75" s="325">
        <v>0.35</v>
      </c>
      <c r="E75" s="325" t="s">
        <v>747</v>
      </c>
      <c r="F75" s="325">
        <v>0.24</v>
      </c>
      <c r="G75" s="324">
        <v>0.1</v>
      </c>
    </row>
    <row r="76" spans="1:7" x14ac:dyDescent="0.3">
      <c r="A76" s="326" t="s">
        <v>1706</v>
      </c>
      <c r="B76" s="325">
        <v>23068</v>
      </c>
      <c r="C76" s="325">
        <v>0.15</v>
      </c>
      <c r="D76" s="325">
        <v>0.15</v>
      </c>
      <c r="E76" s="325" t="s">
        <v>719</v>
      </c>
      <c r="F76" s="325">
        <v>7.0000000000000007E-2</v>
      </c>
      <c r="G76" s="324">
        <v>0.04</v>
      </c>
    </row>
    <row r="77" spans="1:7" x14ac:dyDescent="0.3">
      <c r="A77" s="326" t="s">
        <v>1705</v>
      </c>
      <c r="B77" s="325">
        <v>27073</v>
      </c>
      <c r="C77" s="325">
        <v>0.35</v>
      </c>
      <c r="D77" s="325">
        <v>0.3</v>
      </c>
      <c r="E77" s="325" t="s">
        <v>747</v>
      </c>
      <c r="F77" s="325">
        <v>0.24</v>
      </c>
      <c r="G77" s="324">
        <v>0.1</v>
      </c>
    </row>
    <row r="78" spans="1:7" x14ac:dyDescent="0.3">
      <c r="A78" s="326" t="s">
        <v>1704</v>
      </c>
      <c r="B78" s="325">
        <v>27075</v>
      </c>
      <c r="C78" s="325">
        <v>0.45</v>
      </c>
      <c r="D78" s="325">
        <v>0.4</v>
      </c>
      <c r="E78" s="325" t="s">
        <v>747</v>
      </c>
      <c r="F78" s="325">
        <v>0.24</v>
      </c>
      <c r="G78" s="324">
        <v>0.1</v>
      </c>
    </row>
    <row r="79" spans="1:7" x14ac:dyDescent="0.3">
      <c r="A79" s="326" t="s">
        <v>1703</v>
      </c>
      <c r="B79" s="325">
        <v>27077</v>
      </c>
      <c r="C79" s="325">
        <v>0.45</v>
      </c>
      <c r="D79" s="325">
        <v>0.4</v>
      </c>
      <c r="E79" s="325" t="s">
        <v>747</v>
      </c>
      <c r="F79" s="325">
        <v>0.24</v>
      </c>
      <c r="G79" s="324">
        <v>0.1</v>
      </c>
    </row>
    <row r="80" spans="1:7" x14ac:dyDescent="0.3">
      <c r="A80" s="326" t="s">
        <v>1702</v>
      </c>
      <c r="B80" s="325">
        <v>19075</v>
      </c>
      <c r="C80" s="325">
        <v>0.3</v>
      </c>
      <c r="D80" s="325">
        <v>0.25</v>
      </c>
      <c r="E80" s="325" t="s">
        <v>747</v>
      </c>
      <c r="F80" s="325">
        <v>0.16</v>
      </c>
      <c r="G80" s="324">
        <v>0.08</v>
      </c>
    </row>
    <row r="81" spans="1:7" x14ac:dyDescent="0.3">
      <c r="A81" s="326" t="s">
        <v>1702</v>
      </c>
      <c r="B81" s="325">
        <v>66075</v>
      </c>
      <c r="C81" s="325">
        <v>0.25</v>
      </c>
      <c r="D81" s="325">
        <v>0.3</v>
      </c>
      <c r="E81" s="325" t="s">
        <v>747</v>
      </c>
      <c r="F81" s="325">
        <v>0.2</v>
      </c>
      <c r="G81" s="324">
        <v>0.1</v>
      </c>
    </row>
    <row r="82" spans="1:7" x14ac:dyDescent="0.3">
      <c r="A82" s="326" t="s">
        <v>1701</v>
      </c>
      <c r="B82" s="325">
        <v>8078</v>
      </c>
      <c r="C82" s="325">
        <v>0.1</v>
      </c>
      <c r="D82" s="325">
        <v>0.1</v>
      </c>
      <c r="E82" s="325" t="s">
        <v>743</v>
      </c>
      <c r="F82" s="325">
        <v>0.05</v>
      </c>
      <c r="G82" s="324">
        <v>0.03</v>
      </c>
    </row>
    <row r="83" spans="1:7" x14ac:dyDescent="0.3">
      <c r="A83" s="326" t="s">
        <v>1700</v>
      </c>
      <c r="B83" s="325">
        <v>41078</v>
      </c>
      <c r="C83" s="325">
        <v>0.3</v>
      </c>
      <c r="D83" s="325">
        <v>0.25</v>
      </c>
      <c r="E83" s="325" t="s">
        <v>747</v>
      </c>
      <c r="F83" s="325">
        <v>0.19</v>
      </c>
      <c r="G83" s="324">
        <v>0.08</v>
      </c>
    </row>
    <row r="84" spans="1:7" x14ac:dyDescent="0.3">
      <c r="A84" s="326" t="s">
        <v>1699</v>
      </c>
      <c r="B84" s="325">
        <v>52079</v>
      </c>
      <c r="C84" s="325">
        <v>0.35</v>
      </c>
      <c r="D84" s="325">
        <v>0.35</v>
      </c>
      <c r="E84" s="325" t="s">
        <v>747</v>
      </c>
      <c r="F84" s="325">
        <v>0.16</v>
      </c>
      <c r="G84" s="324">
        <v>0.08</v>
      </c>
    </row>
    <row r="85" spans="1:7" x14ac:dyDescent="0.3">
      <c r="A85" s="326" t="s">
        <v>1698</v>
      </c>
      <c r="B85" s="325">
        <v>5079</v>
      </c>
      <c r="C85" s="325">
        <v>0.15</v>
      </c>
      <c r="D85" s="325">
        <v>0.2</v>
      </c>
      <c r="E85" s="325" t="s">
        <v>719</v>
      </c>
      <c r="F85" s="325">
        <v>0.1</v>
      </c>
      <c r="G85" s="324">
        <v>0.05</v>
      </c>
    </row>
    <row r="86" spans="1:7" x14ac:dyDescent="0.3">
      <c r="A86" s="326" t="s">
        <v>1698</v>
      </c>
      <c r="B86" s="325">
        <v>68077</v>
      </c>
      <c r="C86" s="325">
        <v>0.15</v>
      </c>
      <c r="D86" s="325">
        <v>0.2</v>
      </c>
      <c r="E86" s="325" t="s">
        <v>719</v>
      </c>
      <c r="F86" s="325">
        <v>0.09</v>
      </c>
      <c r="G86" s="324">
        <v>0.06</v>
      </c>
    </row>
    <row r="87" spans="1:7" x14ac:dyDescent="0.3">
      <c r="A87" s="326" t="s">
        <v>1697</v>
      </c>
      <c r="B87" s="325">
        <v>68079</v>
      </c>
      <c r="C87" s="325">
        <v>0.2</v>
      </c>
      <c r="D87" s="325">
        <v>0.25</v>
      </c>
      <c r="E87" s="325" t="s">
        <v>747</v>
      </c>
      <c r="F87" s="325">
        <v>0.13</v>
      </c>
      <c r="G87" s="324">
        <v>0.08</v>
      </c>
    </row>
    <row r="88" spans="1:7" x14ac:dyDescent="0.3">
      <c r="A88" s="326" t="s">
        <v>1696</v>
      </c>
      <c r="B88" s="325">
        <v>50110</v>
      </c>
      <c r="C88" s="325">
        <v>0.25</v>
      </c>
      <c r="D88" s="325">
        <v>0.25</v>
      </c>
      <c r="E88" s="325" t="s">
        <v>747</v>
      </c>
      <c r="F88" s="325">
        <v>0.08</v>
      </c>
      <c r="G88" s="324">
        <v>0.04</v>
      </c>
    </row>
    <row r="89" spans="1:7" x14ac:dyDescent="0.3">
      <c r="A89" s="326" t="s">
        <v>1695</v>
      </c>
      <c r="B89" s="325">
        <v>68081</v>
      </c>
      <c r="C89" s="325">
        <v>0.15</v>
      </c>
      <c r="D89" s="325">
        <v>0.15</v>
      </c>
      <c r="E89" s="325" t="s">
        <v>719</v>
      </c>
      <c r="F89" s="325">
        <v>0.06</v>
      </c>
      <c r="G89" s="324">
        <v>0.04</v>
      </c>
    </row>
    <row r="90" spans="1:7" x14ac:dyDescent="0.3">
      <c r="A90" s="326" t="s">
        <v>1694</v>
      </c>
      <c r="B90" s="325">
        <v>44078</v>
      </c>
      <c r="C90" s="325">
        <v>0.15</v>
      </c>
      <c r="D90" s="325">
        <v>0.1</v>
      </c>
      <c r="E90" s="325" t="s">
        <v>719</v>
      </c>
      <c r="F90" s="325">
        <v>0.08</v>
      </c>
      <c r="G90" s="324">
        <v>0.04</v>
      </c>
    </row>
    <row r="91" spans="1:7" x14ac:dyDescent="0.3">
      <c r="A91" s="326" t="s">
        <v>1693</v>
      </c>
      <c r="B91" s="325">
        <v>13074</v>
      </c>
      <c r="C91" s="325">
        <v>0.15</v>
      </c>
      <c r="D91" s="325">
        <v>0.15</v>
      </c>
      <c r="E91" s="325" t="s">
        <v>719</v>
      </c>
      <c r="F91" s="325">
        <v>0.05</v>
      </c>
      <c r="G91" s="324">
        <v>0.03</v>
      </c>
    </row>
    <row r="92" spans="1:7" x14ac:dyDescent="0.3">
      <c r="A92" s="326" t="s">
        <v>1692</v>
      </c>
      <c r="B92" s="325">
        <v>94343</v>
      </c>
      <c r="C92" s="325">
        <v>0.05</v>
      </c>
      <c r="D92" s="325">
        <v>0.05</v>
      </c>
      <c r="E92" s="325" t="s">
        <v>743</v>
      </c>
      <c r="F92" s="325">
        <v>0.04</v>
      </c>
      <c r="G92" s="324">
        <v>0.02</v>
      </c>
    </row>
    <row r="93" spans="1:7" x14ac:dyDescent="0.3">
      <c r="A93" s="326" t="s">
        <v>1691</v>
      </c>
      <c r="B93" s="325">
        <v>8001</v>
      </c>
      <c r="C93" s="325">
        <v>0.1</v>
      </c>
      <c r="D93" s="325">
        <v>0.1</v>
      </c>
      <c r="E93" s="325" t="s">
        <v>743</v>
      </c>
      <c r="F93" s="325">
        <v>0.05</v>
      </c>
      <c r="G93" s="324">
        <v>0.03</v>
      </c>
    </row>
    <row r="94" spans="1:7" x14ac:dyDescent="0.3">
      <c r="A94" s="326" t="s">
        <v>1690</v>
      </c>
      <c r="B94" s="325">
        <v>20045</v>
      </c>
      <c r="C94" s="325">
        <v>0.1</v>
      </c>
      <c r="D94" s="325">
        <v>0.1</v>
      </c>
      <c r="E94" s="325" t="s">
        <v>743</v>
      </c>
      <c r="F94" s="325">
        <v>0.08</v>
      </c>
      <c r="G94" s="324">
        <v>0.04</v>
      </c>
    </row>
    <row r="95" spans="1:7" x14ac:dyDescent="0.3">
      <c r="A95" s="326" t="s">
        <v>1689</v>
      </c>
      <c r="B95" s="325">
        <v>17088</v>
      </c>
      <c r="C95" s="325">
        <v>0.25</v>
      </c>
      <c r="D95" s="325">
        <v>0.3</v>
      </c>
      <c r="E95" s="325" t="s">
        <v>747</v>
      </c>
      <c r="F95" s="325">
        <v>0.2</v>
      </c>
      <c r="G95" s="324">
        <v>0.1</v>
      </c>
    </row>
    <row r="96" spans="1:7" x14ac:dyDescent="0.3">
      <c r="A96" s="326" t="s">
        <v>1688</v>
      </c>
      <c r="B96" s="325">
        <v>15087</v>
      </c>
      <c r="C96" s="325">
        <v>0.25</v>
      </c>
      <c r="D96" s="325">
        <v>0.25</v>
      </c>
      <c r="E96" s="325" t="s">
        <v>747</v>
      </c>
      <c r="F96" s="325">
        <v>0.16</v>
      </c>
      <c r="G96" s="324">
        <v>0.08</v>
      </c>
    </row>
    <row r="97" spans="1:7" x14ac:dyDescent="0.3">
      <c r="A97" s="326" t="s">
        <v>1688</v>
      </c>
      <c r="B97" s="325">
        <v>52083</v>
      </c>
      <c r="C97" s="325">
        <v>0.25</v>
      </c>
      <c r="D97" s="325">
        <v>0.25</v>
      </c>
      <c r="E97" s="325" t="s">
        <v>747</v>
      </c>
      <c r="F97" s="325">
        <v>0.16</v>
      </c>
      <c r="G97" s="324">
        <v>0.08</v>
      </c>
    </row>
    <row r="98" spans="1:7" x14ac:dyDescent="0.3">
      <c r="A98" s="326" t="s">
        <v>1687</v>
      </c>
      <c r="B98" s="325">
        <v>27086</v>
      </c>
      <c r="C98" s="325">
        <v>0.25</v>
      </c>
      <c r="D98" s="325">
        <v>0.3</v>
      </c>
      <c r="E98" s="325" t="s">
        <v>747</v>
      </c>
      <c r="F98" s="325">
        <v>0.24</v>
      </c>
      <c r="G98" s="324">
        <v>0.1</v>
      </c>
    </row>
    <row r="99" spans="1:7" x14ac:dyDescent="0.3">
      <c r="A99" s="326" t="s">
        <v>1686</v>
      </c>
      <c r="B99" s="325">
        <v>18094</v>
      </c>
      <c r="C99" s="325">
        <v>0.2</v>
      </c>
      <c r="D99" s="325">
        <v>0.15</v>
      </c>
      <c r="E99" s="325" t="s">
        <v>719</v>
      </c>
      <c r="F99" s="325">
        <v>0.09</v>
      </c>
      <c r="G99" s="324">
        <v>0.05</v>
      </c>
    </row>
    <row r="100" spans="1:7" x14ac:dyDescent="0.3">
      <c r="A100" s="326" t="s">
        <v>1685</v>
      </c>
      <c r="B100" s="325">
        <v>66088</v>
      </c>
      <c r="C100" s="325">
        <v>0.25</v>
      </c>
      <c r="D100" s="325">
        <v>0.3</v>
      </c>
      <c r="E100" s="325" t="s">
        <v>747</v>
      </c>
      <c r="F100" s="325">
        <v>0.2</v>
      </c>
      <c r="G100" s="324">
        <v>0.1</v>
      </c>
    </row>
    <row r="101" spans="1:7" x14ac:dyDescent="0.3">
      <c r="A101" s="326" t="s">
        <v>1684</v>
      </c>
      <c r="B101" s="325">
        <v>5088</v>
      </c>
      <c r="C101" s="325">
        <v>0.15</v>
      </c>
      <c r="D101" s="325">
        <v>0.2</v>
      </c>
      <c r="E101" s="325" t="s">
        <v>719</v>
      </c>
      <c r="F101" s="325">
        <v>0.13</v>
      </c>
      <c r="G101" s="324">
        <v>7.0000000000000007E-2</v>
      </c>
    </row>
    <row r="102" spans="1:7" x14ac:dyDescent="0.3">
      <c r="A102" s="326" t="s">
        <v>1683</v>
      </c>
      <c r="B102" s="325">
        <v>5086</v>
      </c>
      <c r="C102" s="325">
        <v>0.15</v>
      </c>
      <c r="D102" s="325">
        <v>0.2</v>
      </c>
      <c r="E102" s="325" t="s">
        <v>719</v>
      </c>
      <c r="F102" s="325">
        <v>0.12</v>
      </c>
      <c r="G102" s="324">
        <v>0.06</v>
      </c>
    </row>
    <row r="103" spans="1:7" x14ac:dyDescent="0.3">
      <c r="A103" s="326" t="s">
        <v>1682</v>
      </c>
      <c r="B103" s="325">
        <v>25086</v>
      </c>
      <c r="C103" s="325">
        <v>0.2</v>
      </c>
      <c r="D103" s="325">
        <v>0.2</v>
      </c>
      <c r="E103" s="325" t="s">
        <v>719</v>
      </c>
      <c r="F103" s="325">
        <v>0.13</v>
      </c>
      <c r="G103" s="324">
        <v>0.06</v>
      </c>
    </row>
    <row r="104" spans="1:7" x14ac:dyDescent="0.3">
      <c r="A104" s="326" t="s">
        <v>1681</v>
      </c>
      <c r="B104" s="325">
        <v>15090</v>
      </c>
      <c r="C104" s="325">
        <v>0.25</v>
      </c>
      <c r="D104" s="325">
        <v>0.25</v>
      </c>
      <c r="E104" s="325" t="s">
        <v>747</v>
      </c>
      <c r="F104" s="325">
        <v>0.16</v>
      </c>
      <c r="G104" s="324">
        <v>0.08</v>
      </c>
    </row>
    <row r="105" spans="1:7" x14ac:dyDescent="0.3">
      <c r="A105" s="326" t="s">
        <v>1680</v>
      </c>
      <c r="B105" s="325">
        <v>5091</v>
      </c>
      <c r="C105" s="325">
        <v>0.25</v>
      </c>
      <c r="D105" s="325">
        <v>0.3</v>
      </c>
      <c r="E105" s="325" t="s">
        <v>747</v>
      </c>
      <c r="F105" s="325">
        <v>0.16</v>
      </c>
      <c r="G105" s="324">
        <v>0.1</v>
      </c>
    </row>
    <row r="106" spans="1:7" x14ac:dyDescent="0.3">
      <c r="A106" s="326" t="s">
        <v>1679</v>
      </c>
      <c r="B106" s="325">
        <v>15092</v>
      </c>
      <c r="C106" s="325">
        <v>0.25</v>
      </c>
      <c r="D106" s="325">
        <v>0.25</v>
      </c>
      <c r="E106" s="325" t="s">
        <v>747</v>
      </c>
      <c r="F106" s="325">
        <v>0.16</v>
      </c>
      <c r="G106" s="324">
        <v>0.08</v>
      </c>
    </row>
    <row r="107" spans="1:7" x14ac:dyDescent="0.3">
      <c r="A107" s="326" t="s">
        <v>1678</v>
      </c>
      <c r="B107" s="325">
        <v>5093</v>
      </c>
      <c r="C107" s="325">
        <v>0.2</v>
      </c>
      <c r="D107" s="325">
        <v>0.25</v>
      </c>
      <c r="E107" s="325" t="s">
        <v>747</v>
      </c>
      <c r="F107" s="325">
        <v>0.14000000000000001</v>
      </c>
      <c r="G107" s="324">
        <v>0.08</v>
      </c>
    </row>
    <row r="108" spans="1:7" x14ac:dyDescent="0.3">
      <c r="A108" s="326" t="s">
        <v>1678</v>
      </c>
      <c r="B108" s="325">
        <v>68092</v>
      </c>
      <c r="C108" s="325">
        <v>0.2</v>
      </c>
      <c r="D108" s="325">
        <v>0.2</v>
      </c>
      <c r="E108" s="325" t="s">
        <v>719</v>
      </c>
      <c r="F108" s="325">
        <v>0.13</v>
      </c>
      <c r="G108" s="324">
        <v>0.09</v>
      </c>
    </row>
    <row r="109" spans="1:7" x14ac:dyDescent="0.3">
      <c r="A109" s="326" t="s">
        <v>1677</v>
      </c>
      <c r="B109" s="325">
        <v>25095</v>
      </c>
      <c r="C109" s="325">
        <v>0.15</v>
      </c>
      <c r="D109" s="325">
        <v>0.2</v>
      </c>
      <c r="E109" s="325" t="s">
        <v>719</v>
      </c>
      <c r="F109" s="325">
        <v>0.16</v>
      </c>
      <c r="G109" s="324">
        <v>0.06</v>
      </c>
    </row>
    <row r="110" spans="1:7" x14ac:dyDescent="0.3">
      <c r="A110" s="326" t="s">
        <v>1676</v>
      </c>
      <c r="B110" s="325">
        <v>15097</v>
      </c>
      <c r="C110" s="325">
        <v>0.25</v>
      </c>
      <c r="D110" s="325">
        <v>0.25</v>
      </c>
      <c r="E110" s="325" t="s">
        <v>747</v>
      </c>
      <c r="F110" s="325">
        <v>0.16</v>
      </c>
      <c r="G110" s="324">
        <v>0.08</v>
      </c>
    </row>
    <row r="111" spans="1:7" x14ac:dyDescent="0.3">
      <c r="A111" s="326" t="s">
        <v>1675</v>
      </c>
      <c r="B111" s="325">
        <v>54099</v>
      </c>
      <c r="C111" s="325">
        <v>0.35</v>
      </c>
      <c r="D111" s="325">
        <v>0.25</v>
      </c>
      <c r="E111" s="325" t="s">
        <v>747</v>
      </c>
      <c r="F111" s="325">
        <v>0.13</v>
      </c>
      <c r="G111" s="324">
        <v>0.06</v>
      </c>
    </row>
    <row r="112" spans="1:7" x14ac:dyDescent="0.3">
      <c r="A112" s="326" t="s">
        <v>1674</v>
      </c>
      <c r="B112" s="325">
        <v>11001</v>
      </c>
      <c r="C112" s="325">
        <v>0.15</v>
      </c>
      <c r="D112" s="325">
        <v>0.2</v>
      </c>
      <c r="E112" s="325" t="s">
        <v>719</v>
      </c>
      <c r="F112" s="325">
        <v>0.13</v>
      </c>
      <c r="G112" s="324">
        <v>0.06</v>
      </c>
    </row>
    <row r="113" spans="1:7" x14ac:dyDescent="0.3">
      <c r="A113" s="326" t="s">
        <v>1673</v>
      </c>
      <c r="B113" s="325">
        <v>25099</v>
      </c>
      <c r="C113" s="325">
        <v>0.15</v>
      </c>
      <c r="D113" s="325">
        <v>0.2</v>
      </c>
      <c r="E113" s="325" t="s">
        <v>719</v>
      </c>
      <c r="F113" s="325">
        <v>0.11</v>
      </c>
      <c r="G113" s="324">
        <v>0.06</v>
      </c>
    </row>
    <row r="114" spans="1:7" x14ac:dyDescent="0.3">
      <c r="A114" s="326" t="s">
        <v>1672</v>
      </c>
      <c r="B114" s="325">
        <v>27099</v>
      </c>
      <c r="C114" s="325">
        <v>0.4</v>
      </c>
      <c r="D114" s="325">
        <v>0.4</v>
      </c>
      <c r="E114" s="325" t="s">
        <v>747</v>
      </c>
      <c r="F114" s="325">
        <v>0.24</v>
      </c>
      <c r="G114" s="324">
        <v>0.1</v>
      </c>
    </row>
    <row r="115" spans="1:7" x14ac:dyDescent="0.3">
      <c r="A115" s="326" t="s">
        <v>1671</v>
      </c>
      <c r="B115" s="325">
        <v>19100</v>
      </c>
      <c r="C115" s="325">
        <v>0.25</v>
      </c>
      <c r="D115" s="325">
        <v>0.25</v>
      </c>
      <c r="E115" s="325" t="s">
        <v>747</v>
      </c>
      <c r="F115" s="325">
        <v>0.15</v>
      </c>
      <c r="G115" s="324">
        <v>7.0000000000000007E-2</v>
      </c>
    </row>
    <row r="116" spans="1:7" x14ac:dyDescent="0.3">
      <c r="A116" s="326" t="s">
        <v>1671</v>
      </c>
      <c r="B116" s="325">
        <v>76100</v>
      </c>
      <c r="C116" s="325">
        <v>0.3</v>
      </c>
      <c r="D116" s="325">
        <v>0.3</v>
      </c>
      <c r="E116" s="325" t="s">
        <v>747</v>
      </c>
      <c r="F116" s="325">
        <v>0.16</v>
      </c>
      <c r="G116" s="324">
        <v>0.1</v>
      </c>
    </row>
    <row r="117" spans="1:7" x14ac:dyDescent="0.3">
      <c r="A117" s="326" t="s">
        <v>1671</v>
      </c>
      <c r="B117" s="325">
        <v>68101</v>
      </c>
      <c r="C117" s="325">
        <v>0.15</v>
      </c>
      <c r="D117" s="325">
        <v>0.15</v>
      </c>
      <c r="E117" s="325" t="s">
        <v>719</v>
      </c>
      <c r="F117" s="325">
        <v>7.0000000000000007E-2</v>
      </c>
      <c r="G117" s="324">
        <v>0.04</v>
      </c>
    </row>
    <row r="118" spans="1:7" x14ac:dyDescent="0.3">
      <c r="A118" s="326" t="s">
        <v>1670</v>
      </c>
      <c r="B118" s="325">
        <v>20060</v>
      </c>
      <c r="C118" s="325">
        <v>0.1</v>
      </c>
      <c r="D118" s="325">
        <v>0.1</v>
      </c>
      <c r="E118" s="325" t="s">
        <v>743</v>
      </c>
      <c r="F118" s="325">
        <v>0.08</v>
      </c>
      <c r="G118" s="324">
        <v>0.04</v>
      </c>
    </row>
    <row r="119" spans="1:7" x14ac:dyDescent="0.3">
      <c r="A119" s="326" t="s">
        <v>1669</v>
      </c>
      <c r="B119" s="325">
        <v>15104</v>
      </c>
      <c r="C119" s="325">
        <v>0.2</v>
      </c>
      <c r="D119" s="325">
        <v>0.2</v>
      </c>
      <c r="E119" s="325" t="s">
        <v>719</v>
      </c>
      <c r="F119" s="325">
        <v>0.14000000000000001</v>
      </c>
      <c r="G119" s="324">
        <v>0.06</v>
      </c>
    </row>
    <row r="120" spans="1:7" x14ac:dyDescent="0.3">
      <c r="A120" s="326" t="s">
        <v>1668</v>
      </c>
      <c r="B120" s="325">
        <v>5107</v>
      </c>
      <c r="C120" s="325">
        <v>0.15</v>
      </c>
      <c r="D120" s="325">
        <v>0.2</v>
      </c>
      <c r="E120" s="325" t="s">
        <v>719</v>
      </c>
      <c r="F120" s="325">
        <v>0.12</v>
      </c>
      <c r="G120" s="324">
        <v>0.06</v>
      </c>
    </row>
    <row r="121" spans="1:7" x14ac:dyDescent="0.3">
      <c r="A121" s="326" t="s">
        <v>1668</v>
      </c>
      <c r="B121" s="325">
        <v>15106</v>
      </c>
      <c r="C121" s="325">
        <v>0.15</v>
      </c>
      <c r="D121" s="325">
        <v>0.15</v>
      </c>
      <c r="E121" s="325" t="s">
        <v>719</v>
      </c>
      <c r="F121" s="325">
        <v>0.12</v>
      </c>
      <c r="G121" s="324">
        <v>7.0000000000000007E-2</v>
      </c>
    </row>
    <row r="122" spans="1:7" x14ac:dyDescent="0.3">
      <c r="A122" s="326" t="s">
        <v>1667</v>
      </c>
      <c r="B122" s="325">
        <v>68001</v>
      </c>
      <c r="C122" s="325">
        <v>0.25</v>
      </c>
      <c r="D122" s="325">
        <v>0.25</v>
      </c>
      <c r="E122" s="325" t="s">
        <v>747</v>
      </c>
      <c r="F122" s="325">
        <v>0.15</v>
      </c>
      <c r="G122" s="324">
        <v>0.09</v>
      </c>
    </row>
    <row r="123" spans="1:7" x14ac:dyDescent="0.3">
      <c r="A123" s="326" t="s">
        <v>1666</v>
      </c>
      <c r="B123" s="325">
        <v>54109</v>
      </c>
      <c r="C123" s="325">
        <v>0.3</v>
      </c>
      <c r="D123" s="325">
        <v>0.25</v>
      </c>
      <c r="E123" s="325" t="s">
        <v>747</v>
      </c>
      <c r="F123" s="325">
        <v>0.09</v>
      </c>
      <c r="G123" s="324">
        <v>0.04</v>
      </c>
    </row>
    <row r="124" spans="1:7" x14ac:dyDescent="0.3">
      <c r="A124" s="326" t="s">
        <v>1665</v>
      </c>
      <c r="B124" s="325">
        <v>76109</v>
      </c>
      <c r="C124" s="325">
        <v>0.4</v>
      </c>
      <c r="D124" s="325">
        <v>0.35</v>
      </c>
      <c r="E124" s="325" t="s">
        <v>747</v>
      </c>
      <c r="F124" s="325">
        <v>0.13</v>
      </c>
      <c r="G124" s="324">
        <v>0.08</v>
      </c>
    </row>
    <row r="125" spans="1:7" x14ac:dyDescent="0.3">
      <c r="A125" s="326" t="s">
        <v>1664</v>
      </c>
      <c r="B125" s="325">
        <v>63111</v>
      </c>
      <c r="C125" s="325">
        <v>0.25</v>
      </c>
      <c r="D125" s="325">
        <v>0.2</v>
      </c>
      <c r="E125" s="325" t="s">
        <v>747</v>
      </c>
      <c r="F125" s="325">
        <v>0.19</v>
      </c>
      <c r="G125" s="324">
        <v>0.09</v>
      </c>
    </row>
    <row r="126" spans="1:7" x14ac:dyDescent="0.3">
      <c r="A126" s="326" t="s">
        <v>1664</v>
      </c>
      <c r="B126" s="325">
        <v>15109</v>
      </c>
      <c r="C126" s="325">
        <v>0.15</v>
      </c>
      <c r="D126" s="325">
        <v>0.15</v>
      </c>
      <c r="E126" s="325" t="s">
        <v>719</v>
      </c>
      <c r="F126" s="325">
        <v>0.11</v>
      </c>
      <c r="G126" s="324">
        <v>0.06</v>
      </c>
    </row>
    <row r="127" spans="1:7" x14ac:dyDescent="0.3">
      <c r="A127" s="326" t="s">
        <v>1664</v>
      </c>
      <c r="B127" s="325">
        <v>23079</v>
      </c>
      <c r="C127" s="325">
        <v>0.15</v>
      </c>
      <c r="D127" s="325">
        <v>0.2</v>
      </c>
      <c r="E127" s="325" t="s">
        <v>719</v>
      </c>
      <c r="F127" s="325">
        <v>0.08</v>
      </c>
      <c r="G127" s="324">
        <v>0.04</v>
      </c>
    </row>
    <row r="128" spans="1:7" x14ac:dyDescent="0.3">
      <c r="A128" s="326" t="s">
        <v>1664</v>
      </c>
      <c r="B128" s="325">
        <v>70110</v>
      </c>
      <c r="C128" s="325">
        <v>0.1</v>
      </c>
      <c r="D128" s="325">
        <v>0.15</v>
      </c>
      <c r="E128" s="325" t="s">
        <v>719</v>
      </c>
      <c r="F128" s="325">
        <v>0.04</v>
      </c>
      <c r="G128" s="324">
        <v>0.03</v>
      </c>
    </row>
    <row r="129" spans="1:7" x14ac:dyDescent="0.3">
      <c r="A129" s="326" t="s">
        <v>1663</v>
      </c>
      <c r="B129" s="325">
        <v>19110</v>
      </c>
      <c r="C129" s="325">
        <v>0.25</v>
      </c>
      <c r="D129" s="325">
        <v>0.2</v>
      </c>
      <c r="E129" s="325" t="s">
        <v>747</v>
      </c>
      <c r="F129" s="325">
        <v>0.16</v>
      </c>
      <c r="G129" s="324">
        <v>0.08</v>
      </c>
    </row>
    <row r="130" spans="1:7" x14ac:dyDescent="0.3">
      <c r="A130" s="326" t="s">
        <v>1662</v>
      </c>
      <c r="B130" s="325">
        <v>52110</v>
      </c>
      <c r="C130" s="325">
        <v>0.25</v>
      </c>
      <c r="D130" s="325">
        <v>0.25</v>
      </c>
      <c r="E130" s="325" t="s">
        <v>747</v>
      </c>
      <c r="F130" s="325">
        <v>0.16</v>
      </c>
      <c r="G130" s="324">
        <v>0.08</v>
      </c>
    </row>
    <row r="131" spans="1:7" x14ac:dyDescent="0.3">
      <c r="A131" s="326" t="s">
        <v>1661</v>
      </c>
      <c r="B131" s="325">
        <v>76111</v>
      </c>
      <c r="C131" s="325">
        <v>0.25</v>
      </c>
      <c r="D131" s="325">
        <v>0.2</v>
      </c>
      <c r="E131" s="325" t="s">
        <v>747</v>
      </c>
      <c r="F131" s="325">
        <v>0.11</v>
      </c>
      <c r="G131" s="324">
        <v>7.0000000000000007E-2</v>
      </c>
    </row>
    <row r="132" spans="1:7" x14ac:dyDescent="0.3">
      <c r="A132" s="326" t="s">
        <v>1660</v>
      </c>
      <c r="B132" s="325">
        <v>76113</v>
      </c>
      <c r="C132" s="325">
        <v>0.25</v>
      </c>
      <c r="D132" s="325">
        <v>0.25</v>
      </c>
      <c r="E132" s="325" t="s">
        <v>747</v>
      </c>
      <c r="F132" s="325">
        <v>0.13</v>
      </c>
      <c r="G132" s="324">
        <v>0.08</v>
      </c>
    </row>
    <row r="133" spans="1:7" x14ac:dyDescent="0.3">
      <c r="A133" s="326" t="s">
        <v>1659</v>
      </c>
      <c r="B133" s="325">
        <v>5113</v>
      </c>
      <c r="C133" s="325">
        <v>0.2</v>
      </c>
      <c r="D133" s="325">
        <v>0.25</v>
      </c>
      <c r="E133" s="325" t="s">
        <v>747</v>
      </c>
      <c r="F133" s="325">
        <v>0.12</v>
      </c>
      <c r="G133" s="324">
        <v>7.0000000000000007E-2</v>
      </c>
    </row>
    <row r="134" spans="1:7" x14ac:dyDescent="0.3">
      <c r="A134" s="326" t="s">
        <v>1658</v>
      </c>
      <c r="B134" s="325">
        <v>15114</v>
      </c>
      <c r="C134" s="325">
        <v>0.25</v>
      </c>
      <c r="D134" s="325">
        <v>0.25</v>
      </c>
      <c r="E134" s="325" t="s">
        <v>747</v>
      </c>
      <c r="F134" s="325">
        <v>0.16</v>
      </c>
      <c r="G134" s="324">
        <v>0.08</v>
      </c>
    </row>
    <row r="135" spans="1:7" x14ac:dyDescent="0.3">
      <c r="A135" s="326" t="s">
        <v>1657</v>
      </c>
      <c r="B135" s="325">
        <v>25120</v>
      </c>
      <c r="C135" s="325">
        <v>0.25</v>
      </c>
      <c r="D135" s="325">
        <v>0.25</v>
      </c>
      <c r="E135" s="325" t="s">
        <v>747</v>
      </c>
      <c r="F135" s="325">
        <v>0.12</v>
      </c>
      <c r="G135" s="324">
        <v>0.06</v>
      </c>
    </row>
    <row r="136" spans="1:7" x14ac:dyDescent="0.3">
      <c r="A136" s="326" t="s">
        <v>1657</v>
      </c>
      <c r="B136" s="325">
        <v>68121</v>
      </c>
      <c r="C136" s="325">
        <v>0.2</v>
      </c>
      <c r="D136" s="325">
        <v>0.2</v>
      </c>
      <c r="E136" s="325" t="s">
        <v>719</v>
      </c>
      <c r="F136" s="325">
        <v>0.13</v>
      </c>
      <c r="G136" s="324">
        <v>0.08</v>
      </c>
    </row>
    <row r="137" spans="1:7" x14ac:dyDescent="0.3">
      <c r="A137" s="326" t="s">
        <v>1656</v>
      </c>
      <c r="B137" s="325">
        <v>50124</v>
      </c>
      <c r="C137" s="325">
        <v>0.2</v>
      </c>
      <c r="D137" s="325">
        <v>0.2</v>
      </c>
      <c r="E137" s="325" t="s">
        <v>719</v>
      </c>
      <c r="F137" s="325">
        <v>0.06</v>
      </c>
      <c r="G137" s="324">
        <v>0.03</v>
      </c>
    </row>
    <row r="138" spans="1:7" x14ac:dyDescent="0.3">
      <c r="A138" s="326" t="s">
        <v>1655</v>
      </c>
      <c r="B138" s="325">
        <v>94886</v>
      </c>
      <c r="C138" s="325">
        <v>0.05</v>
      </c>
      <c r="D138" s="325">
        <v>0.05</v>
      </c>
      <c r="E138" s="325" t="s">
        <v>743</v>
      </c>
      <c r="F138" s="325">
        <v>0.04</v>
      </c>
      <c r="G138" s="324">
        <v>0.02</v>
      </c>
    </row>
    <row r="139" spans="1:7" x14ac:dyDescent="0.3">
      <c r="A139" s="326" t="s">
        <v>1654</v>
      </c>
      <c r="B139" s="325">
        <v>5120</v>
      </c>
      <c r="C139" s="325">
        <v>0.15</v>
      </c>
      <c r="D139" s="325">
        <v>0.2</v>
      </c>
      <c r="E139" s="325" t="s">
        <v>719</v>
      </c>
      <c r="F139" s="325">
        <v>0.08</v>
      </c>
      <c r="G139" s="324">
        <v>0.03</v>
      </c>
    </row>
    <row r="140" spans="1:7" x14ac:dyDescent="0.3">
      <c r="A140" s="326" t="s">
        <v>1653</v>
      </c>
      <c r="B140" s="325">
        <v>25123</v>
      </c>
      <c r="C140" s="325">
        <v>0.15</v>
      </c>
      <c r="D140" s="325">
        <v>0.2</v>
      </c>
      <c r="E140" s="325" t="s">
        <v>719</v>
      </c>
      <c r="F140" s="325">
        <v>0.15</v>
      </c>
      <c r="G140" s="324">
        <v>0.06</v>
      </c>
    </row>
    <row r="141" spans="1:7" x14ac:dyDescent="0.3">
      <c r="A141" s="326" t="s">
        <v>1652</v>
      </c>
      <c r="B141" s="325">
        <v>54128</v>
      </c>
      <c r="C141" s="325">
        <v>0.25</v>
      </c>
      <c r="D141" s="325">
        <v>0.25</v>
      </c>
      <c r="E141" s="325" t="s">
        <v>747</v>
      </c>
      <c r="F141" s="325">
        <v>7.0000000000000007E-2</v>
      </c>
      <c r="G141" s="324">
        <v>0.04</v>
      </c>
    </row>
    <row r="142" spans="1:7" x14ac:dyDescent="0.3">
      <c r="A142" s="326" t="s">
        <v>1651</v>
      </c>
      <c r="B142" s="325">
        <v>54125</v>
      </c>
      <c r="C142" s="325">
        <v>0.3</v>
      </c>
      <c r="D142" s="325">
        <v>0.25</v>
      </c>
      <c r="E142" s="325" t="s">
        <v>747</v>
      </c>
      <c r="F142" s="325">
        <v>0.1</v>
      </c>
      <c r="G142" s="324">
        <v>0.05</v>
      </c>
    </row>
    <row r="143" spans="1:7" x14ac:dyDescent="0.3">
      <c r="A143" s="326" t="s">
        <v>1650</v>
      </c>
      <c r="B143" s="325">
        <v>5125</v>
      </c>
      <c r="C143" s="325">
        <v>0.2</v>
      </c>
      <c r="D143" s="325">
        <v>0.25</v>
      </c>
      <c r="E143" s="325" t="s">
        <v>747</v>
      </c>
      <c r="F143" s="325">
        <v>0.13</v>
      </c>
      <c r="G143" s="324">
        <v>7.0000000000000007E-2</v>
      </c>
    </row>
    <row r="144" spans="1:7" x14ac:dyDescent="0.3">
      <c r="A144" s="326" t="s">
        <v>1649</v>
      </c>
      <c r="B144" s="325">
        <v>76122</v>
      </c>
      <c r="C144" s="325">
        <v>0.25</v>
      </c>
      <c r="D144" s="325">
        <v>0.2</v>
      </c>
      <c r="E144" s="325" t="s">
        <v>747</v>
      </c>
      <c r="F144" s="325">
        <v>0.14000000000000001</v>
      </c>
      <c r="G144" s="324">
        <v>0.08</v>
      </c>
    </row>
    <row r="145" spans="1:7" x14ac:dyDescent="0.3">
      <c r="A145" s="326" t="s">
        <v>1648</v>
      </c>
      <c r="B145" s="325">
        <v>70124</v>
      </c>
      <c r="C145" s="325">
        <v>0.15</v>
      </c>
      <c r="D145" s="325">
        <v>0.15</v>
      </c>
      <c r="E145" s="325" t="s">
        <v>719</v>
      </c>
      <c r="F145" s="325">
        <v>0.04</v>
      </c>
      <c r="G145" s="324">
        <v>0.03</v>
      </c>
    </row>
    <row r="146" spans="1:7" x14ac:dyDescent="0.3">
      <c r="A146" s="326" t="s">
        <v>1647</v>
      </c>
      <c r="B146" s="325">
        <v>73124</v>
      </c>
      <c r="C146" s="325">
        <v>0.2</v>
      </c>
      <c r="D146" s="325">
        <v>0.2</v>
      </c>
      <c r="E146" s="325" t="s">
        <v>719</v>
      </c>
      <c r="F146" s="325">
        <v>0.14000000000000001</v>
      </c>
      <c r="G146" s="324">
        <v>0.08</v>
      </c>
    </row>
    <row r="147" spans="1:7" x14ac:dyDescent="0.3">
      <c r="A147" s="326" t="s">
        <v>1646</v>
      </c>
      <c r="B147" s="325">
        <v>19130</v>
      </c>
      <c r="C147" s="325">
        <v>0.25</v>
      </c>
      <c r="D147" s="325">
        <v>0.2</v>
      </c>
      <c r="E147" s="325" t="s">
        <v>747</v>
      </c>
      <c r="F147" s="325">
        <v>0.15</v>
      </c>
      <c r="G147" s="324">
        <v>0.08</v>
      </c>
    </row>
    <row r="148" spans="1:7" x14ac:dyDescent="0.3">
      <c r="A148" s="326" t="s">
        <v>1645</v>
      </c>
      <c r="B148" s="325">
        <v>25126</v>
      </c>
      <c r="C148" s="325">
        <v>0.15</v>
      </c>
      <c r="D148" s="325">
        <v>0.2</v>
      </c>
      <c r="E148" s="325" t="s">
        <v>719</v>
      </c>
      <c r="F148" s="325">
        <v>0.09</v>
      </c>
      <c r="G148" s="324">
        <v>0.05</v>
      </c>
    </row>
    <row r="149" spans="1:7" x14ac:dyDescent="0.3">
      <c r="A149" s="326" t="s">
        <v>1644</v>
      </c>
      <c r="B149" s="325">
        <v>13140</v>
      </c>
      <c r="C149" s="325">
        <v>0.1</v>
      </c>
      <c r="D149" s="325">
        <v>0.1</v>
      </c>
      <c r="E149" s="325" t="s">
        <v>743</v>
      </c>
      <c r="F149" s="325">
        <v>0.08</v>
      </c>
      <c r="G149" s="324">
        <v>0.04</v>
      </c>
    </row>
    <row r="150" spans="1:7" x14ac:dyDescent="0.3">
      <c r="A150" s="326" t="s">
        <v>1644</v>
      </c>
      <c r="B150" s="325">
        <v>95015</v>
      </c>
      <c r="C150" s="325">
        <v>0.05</v>
      </c>
      <c r="D150" s="325">
        <v>0.05</v>
      </c>
      <c r="E150" s="325" t="s">
        <v>743</v>
      </c>
      <c r="F150" s="325">
        <v>0.04</v>
      </c>
      <c r="G150" s="324">
        <v>0.02</v>
      </c>
    </row>
    <row r="151" spans="1:7" x14ac:dyDescent="0.3">
      <c r="A151" s="326" t="s">
        <v>1643</v>
      </c>
      <c r="B151" s="325">
        <v>63130</v>
      </c>
      <c r="C151" s="325">
        <v>0.25</v>
      </c>
      <c r="D151" s="325">
        <v>0.25</v>
      </c>
      <c r="E151" s="325" t="s">
        <v>747</v>
      </c>
      <c r="F151" s="325">
        <v>0.2</v>
      </c>
      <c r="G151" s="324">
        <v>0.1</v>
      </c>
    </row>
    <row r="152" spans="1:7" x14ac:dyDescent="0.3">
      <c r="A152" s="326" t="s">
        <v>1642</v>
      </c>
      <c r="B152" s="325">
        <v>5129</v>
      </c>
      <c r="C152" s="325">
        <v>0.2</v>
      </c>
      <c r="D152" s="325">
        <v>0.25</v>
      </c>
      <c r="E152" s="325" t="s">
        <v>747</v>
      </c>
      <c r="F152" s="325">
        <v>0.16</v>
      </c>
      <c r="G152" s="324">
        <v>0.08</v>
      </c>
    </row>
    <row r="153" spans="1:7" x14ac:dyDescent="0.3">
      <c r="A153" s="326" t="s">
        <v>1642</v>
      </c>
      <c r="B153" s="325">
        <v>15131</v>
      </c>
      <c r="C153" s="325">
        <v>0.15</v>
      </c>
      <c r="D153" s="325">
        <v>0.15</v>
      </c>
      <c r="E153" s="325" t="s">
        <v>719</v>
      </c>
      <c r="F153" s="325">
        <v>0.11</v>
      </c>
      <c r="G153" s="324">
        <v>0.06</v>
      </c>
    </row>
    <row r="154" spans="1:7" x14ac:dyDescent="0.3">
      <c r="A154" s="326" t="s">
        <v>1641</v>
      </c>
      <c r="B154" s="325">
        <v>19137</v>
      </c>
      <c r="C154" s="325">
        <v>0.25</v>
      </c>
      <c r="D154" s="325">
        <v>0.2</v>
      </c>
      <c r="E154" s="325" t="s">
        <v>747</v>
      </c>
      <c r="F154" s="325">
        <v>0.16</v>
      </c>
      <c r="G154" s="324">
        <v>7.0000000000000007E-2</v>
      </c>
    </row>
    <row r="155" spans="1:7" x14ac:dyDescent="0.3">
      <c r="A155" s="326" t="s">
        <v>1640</v>
      </c>
      <c r="B155" s="325">
        <v>76001</v>
      </c>
      <c r="C155" s="325">
        <v>0.25</v>
      </c>
      <c r="D155" s="325">
        <v>0.25</v>
      </c>
      <c r="E155" s="325" t="s">
        <v>747</v>
      </c>
      <c r="F155" s="325">
        <v>0.15</v>
      </c>
      <c r="G155" s="324">
        <v>0.09</v>
      </c>
    </row>
    <row r="156" spans="1:7" x14ac:dyDescent="0.3">
      <c r="A156" s="326" t="s">
        <v>1639</v>
      </c>
      <c r="B156" s="325">
        <v>68132</v>
      </c>
      <c r="C156" s="325">
        <v>0.25</v>
      </c>
      <c r="D156" s="325">
        <v>0.25</v>
      </c>
      <c r="E156" s="325" t="s">
        <v>747</v>
      </c>
      <c r="F156" s="325">
        <v>0.09</v>
      </c>
      <c r="G156" s="324">
        <v>0.05</v>
      </c>
    </row>
    <row r="157" spans="1:7" x14ac:dyDescent="0.3">
      <c r="A157" s="326" t="s">
        <v>1638</v>
      </c>
      <c r="B157" s="325">
        <v>76126</v>
      </c>
      <c r="C157" s="325">
        <v>0.3</v>
      </c>
      <c r="D157" s="325">
        <v>0.3</v>
      </c>
      <c r="E157" s="325" t="s">
        <v>747</v>
      </c>
      <c r="F157" s="325">
        <v>0.1</v>
      </c>
      <c r="G157" s="324">
        <v>7.0000000000000007E-2</v>
      </c>
    </row>
    <row r="158" spans="1:7" x14ac:dyDescent="0.3">
      <c r="A158" s="326" t="s">
        <v>1637</v>
      </c>
      <c r="B158" s="325">
        <v>19142</v>
      </c>
      <c r="C158" s="325">
        <v>0.25</v>
      </c>
      <c r="D158" s="325">
        <v>0.2</v>
      </c>
      <c r="E158" s="325" t="s">
        <v>747</v>
      </c>
      <c r="F158" s="325">
        <v>0.16</v>
      </c>
      <c r="G158" s="324">
        <v>7.0000000000000007E-2</v>
      </c>
    </row>
    <row r="159" spans="1:7" x14ac:dyDescent="0.3">
      <c r="A159" s="326" t="s">
        <v>1636</v>
      </c>
      <c r="B159" s="325">
        <v>5134</v>
      </c>
      <c r="C159" s="325">
        <v>0.15</v>
      </c>
      <c r="D159" s="325">
        <v>0.2</v>
      </c>
      <c r="E159" s="325" t="s">
        <v>719</v>
      </c>
      <c r="F159" s="325">
        <v>0.08</v>
      </c>
      <c r="G159" s="324">
        <v>0.04</v>
      </c>
    </row>
    <row r="160" spans="1:7" x14ac:dyDescent="0.3">
      <c r="A160" s="326" t="s">
        <v>1635</v>
      </c>
      <c r="B160" s="325">
        <v>8137</v>
      </c>
      <c r="C160" s="325">
        <v>0.1</v>
      </c>
      <c r="D160" s="325">
        <v>0.1</v>
      </c>
      <c r="E160" s="325" t="s">
        <v>743</v>
      </c>
      <c r="F160" s="325">
        <v>0.08</v>
      </c>
      <c r="G160" s="324">
        <v>0.03</v>
      </c>
    </row>
    <row r="161" spans="1:7" x14ac:dyDescent="0.3">
      <c r="A161" s="326" t="s">
        <v>1634</v>
      </c>
      <c r="B161" s="325">
        <v>41132</v>
      </c>
      <c r="C161" s="325">
        <v>0.3</v>
      </c>
      <c r="D161" s="325">
        <v>0.2</v>
      </c>
      <c r="E161" s="325" t="s">
        <v>747</v>
      </c>
      <c r="F161" s="325">
        <v>0.2</v>
      </c>
      <c r="G161" s="324">
        <v>0.08</v>
      </c>
    </row>
    <row r="162" spans="1:7" x14ac:dyDescent="0.3">
      <c r="A162" s="326" t="s">
        <v>1633</v>
      </c>
      <c r="B162" s="325">
        <v>15135</v>
      </c>
      <c r="C162" s="325">
        <v>0.3</v>
      </c>
      <c r="D162" s="325">
        <v>0.25</v>
      </c>
      <c r="E162" s="325" t="s">
        <v>747</v>
      </c>
      <c r="F162" s="325">
        <v>0.16</v>
      </c>
      <c r="G162" s="324">
        <v>0.08</v>
      </c>
    </row>
    <row r="163" spans="1:7" x14ac:dyDescent="0.3">
      <c r="A163" s="326" t="s">
        <v>1632</v>
      </c>
      <c r="B163" s="325">
        <v>23090</v>
      </c>
      <c r="C163" s="325">
        <v>0.1</v>
      </c>
      <c r="D163" s="325">
        <v>0.2</v>
      </c>
      <c r="E163" s="325" t="s">
        <v>719</v>
      </c>
      <c r="F163" s="325">
        <v>0.08</v>
      </c>
      <c r="G163" s="324">
        <v>0.04</v>
      </c>
    </row>
    <row r="164" spans="1:7" x14ac:dyDescent="0.3">
      <c r="A164" s="326" t="s">
        <v>1631</v>
      </c>
      <c r="B164" s="325">
        <v>76130</v>
      </c>
      <c r="C164" s="325">
        <v>0.25</v>
      </c>
      <c r="D164" s="325">
        <v>0.2</v>
      </c>
      <c r="E164" s="325" t="s">
        <v>747</v>
      </c>
      <c r="F164" s="325">
        <v>0.1</v>
      </c>
      <c r="G164" s="324">
        <v>7.0000000000000007E-2</v>
      </c>
    </row>
    <row r="165" spans="1:7" x14ac:dyDescent="0.3">
      <c r="A165" s="326" t="s">
        <v>1631</v>
      </c>
      <c r="B165" s="325">
        <v>8141</v>
      </c>
      <c r="C165" s="325">
        <v>0.1</v>
      </c>
      <c r="D165" s="325">
        <v>0.1</v>
      </c>
      <c r="E165" s="325" t="s">
        <v>743</v>
      </c>
      <c r="F165" s="325">
        <v>0.08</v>
      </c>
      <c r="G165" s="324">
        <v>0.03</v>
      </c>
    </row>
    <row r="166" spans="1:7" x14ac:dyDescent="0.3">
      <c r="A166" s="326" t="s">
        <v>1630</v>
      </c>
      <c r="B166" s="325">
        <v>13160</v>
      </c>
      <c r="C166" s="325">
        <v>0.15</v>
      </c>
      <c r="D166" s="325">
        <v>0.15</v>
      </c>
      <c r="E166" s="325" t="s">
        <v>719</v>
      </c>
      <c r="F166" s="325">
        <v>0.08</v>
      </c>
      <c r="G166" s="324">
        <v>0.04</v>
      </c>
    </row>
    <row r="167" spans="1:7" x14ac:dyDescent="0.3">
      <c r="A167" s="326" t="s">
        <v>1629</v>
      </c>
      <c r="B167" s="325">
        <v>27135</v>
      </c>
      <c r="C167" s="325">
        <v>0.4</v>
      </c>
      <c r="D167" s="325">
        <v>0.4</v>
      </c>
      <c r="E167" s="325" t="s">
        <v>747</v>
      </c>
      <c r="F167" s="325">
        <v>0.24</v>
      </c>
      <c r="G167" s="324">
        <v>0.1</v>
      </c>
    </row>
    <row r="168" spans="1:7" x14ac:dyDescent="0.3">
      <c r="A168" s="326" t="s">
        <v>1628</v>
      </c>
      <c r="B168" s="325">
        <v>5138</v>
      </c>
      <c r="C168" s="325">
        <v>0.2</v>
      </c>
      <c r="D168" s="325">
        <v>0.25</v>
      </c>
      <c r="E168" s="325" t="s">
        <v>747</v>
      </c>
      <c r="F168" s="325">
        <v>0.12</v>
      </c>
      <c r="G168" s="324">
        <v>7.0000000000000007E-2</v>
      </c>
    </row>
    <row r="169" spans="1:7" x14ac:dyDescent="0.3">
      <c r="A169" s="326" t="s">
        <v>1627</v>
      </c>
      <c r="B169" s="325">
        <v>25148</v>
      </c>
      <c r="C169" s="325">
        <v>0.15</v>
      </c>
      <c r="D169" s="325">
        <v>0.2</v>
      </c>
      <c r="E169" s="325" t="s">
        <v>719</v>
      </c>
      <c r="F169" s="325">
        <v>0.15</v>
      </c>
      <c r="G169" s="324">
        <v>0.06</v>
      </c>
    </row>
    <row r="170" spans="1:7" x14ac:dyDescent="0.3">
      <c r="A170" s="326" t="s">
        <v>1626</v>
      </c>
      <c r="B170" s="325">
        <v>68147</v>
      </c>
      <c r="C170" s="325">
        <v>0.25</v>
      </c>
      <c r="D170" s="325">
        <v>0.25</v>
      </c>
      <c r="E170" s="325" t="s">
        <v>747</v>
      </c>
      <c r="F170" s="325">
        <v>0.11</v>
      </c>
      <c r="G170" s="324">
        <v>0.06</v>
      </c>
    </row>
    <row r="171" spans="1:7" x14ac:dyDescent="0.3">
      <c r="A171" s="326" t="s">
        <v>1625</v>
      </c>
      <c r="B171" s="325">
        <v>25151</v>
      </c>
      <c r="C171" s="325">
        <v>0.25</v>
      </c>
      <c r="D171" s="325">
        <v>0.25</v>
      </c>
      <c r="E171" s="325" t="s">
        <v>747</v>
      </c>
      <c r="F171" s="325">
        <v>0.15</v>
      </c>
      <c r="G171" s="324">
        <v>0.06</v>
      </c>
    </row>
    <row r="172" spans="1:7" x14ac:dyDescent="0.3">
      <c r="A172" s="326" t="s">
        <v>1624</v>
      </c>
      <c r="B172" s="325">
        <v>5142</v>
      </c>
      <c r="C172" s="325">
        <v>0.15</v>
      </c>
      <c r="D172" s="325">
        <v>0.2</v>
      </c>
      <c r="E172" s="325" t="s">
        <v>719</v>
      </c>
      <c r="F172" s="325">
        <v>0.13</v>
      </c>
      <c r="G172" s="324">
        <v>0.06</v>
      </c>
    </row>
    <row r="173" spans="1:7" x14ac:dyDescent="0.3">
      <c r="A173" s="326" t="s">
        <v>1623</v>
      </c>
      <c r="B173" s="325">
        <v>5145</v>
      </c>
      <c r="C173" s="325">
        <v>0.25</v>
      </c>
      <c r="D173" s="325">
        <v>0.25</v>
      </c>
      <c r="E173" s="325" t="s">
        <v>747</v>
      </c>
      <c r="F173" s="325">
        <v>0.15</v>
      </c>
      <c r="G173" s="324">
        <v>0.09</v>
      </c>
    </row>
    <row r="174" spans="1:7" x14ac:dyDescent="0.3">
      <c r="A174" s="326" t="s">
        <v>1622</v>
      </c>
      <c r="B174" s="325">
        <v>68152</v>
      </c>
      <c r="C174" s="325">
        <v>0.25</v>
      </c>
      <c r="D174" s="325">
        <v>0.25</v>
      </c>
      <c r="E174" s="325" t="s">
        <v>747</v>
      </c>
      <c r="F174" s="325">
        <v>0.12</v>
      </c>
      <c r="G174" s="324">
        <v>0.06</v>
      </c>
    </row>
    <row r="175" spans="1:7" x14ac:dyDescent="0.3">
      <c r="A175" s="326" t="s">
        <v>1621</v>
      </c>
      <c r="B175" s="325">
        <v>5147</v>
      </c>
      <c r="C175" s="325">
        <v>0.25</v>
      </c>
      <c r="D175" s="325">
        <v>0.25</v>
      </c>
      <c r="E175" s="325" t="s">
        <v>747</v>
      </c>
      <c r="F175" s="325">
        <v>0.16</v>
      </c>
      <c r="G175" s="324">
        <v>0.08</v>
      </c>
    </row>
    <row r="176" spans="1:7" x14ac:dyDescent="0.3">
      <c r="A176" s="326" t="s">
        <v>1620</v>
      </c>
      <c r="B176" s="325">
        <v>73148</v>
      </c>
      <c r="C176" s="325">
        <v>0.25</v>
      </c>
      <c r="D176" s="325">
        <v>0.2</v>
      </c>
      <c r="E176" s="325" t="s">
        <v>747</v>
      </c>
      <c r="F176" s="325">
        <v>0.11</v>
      </c>
      <c r="G176" s="324">
        <v>0.05</v>
      </c>
    </row>
    <row r="177" spans="1:7" x14ac:dyDescent="0.3">
      <c r="A177" s="326" t="s">
        <v>1619</v>
      </c>
      <c r="B177" s="325">
        <v>25154</v>
      </c>
      <c r="C177" s="325">
        <v>0.15</v>
      </c>
      <c r="D177" s="325">
        <v>0.15</v>
      </c>
      <c r="E177" s="325" t="s">
        <v>719</v>
      </c>
      <c r="F177" s="325">
        <v>0.09</v>
      </c>
      <c r="G177" s="324">
        <v>0.05</v>
      </c>
    </row>
    <row r="178" spans="1:7" x14ac:dyDescent="0.3">
      <c r="A178" s="326" t="s">
        <v>1618</v>
      </c>
      <c r="B178" s="325">
        <v>5148</v>
      </c>
      <c r="C178" s="325">
        <v>0.15</v>
      </c>
      <c r="D178" s="325">
        <v>0.2</v>
      </c>
      <c r="E178" s="325" t="s">
        <v>719</v>
      </c>
      <c r="F178" s="325">
        <v>0.11</v>
      </c>
      <c r="G178" s="324">
        <v>0.06</v>
      </c>
    </row>
    <row r="179" spans="1:7" x14ac:dyDescent="0.3">
      <c r="A179" s="326" t="s">
        <v>1617</v>
      </c>
      <c r="B179" s="325">
        <v>27150</v>
      </c>
      <c r="C179" s="325">
        <v>0.35</v>
      </c>
      <c r="D179" s="325">
        <v>0.35</v>
      </c>
      <c r="E179" s="325" t="s">
        <v>747</v>
      </c>
      <c r="F179" s="325">
        <v>0.24</v>
      </c>
      <c r="G179" s="324">
        <v>0.1</v>
      </c>
    </row>
    <row r="180" spans="1:7" x14ac:dyDescent="0.3">
      <c r="A180" s="326" t="s">
        <v>1616</v>
      </c>
      <c r="B180" s="325">
        <v>5150</v>
      </c>
      <c r="C180" s="325">
        <v>0.15</v>
      </c>
      <c r="D180" s="325">
        <v>0.2</v>
      </c>
      <c r="E180" s="325" t="s">
        <v>719</v>
      </c>
      <c r="F180" s="325">
        <v>0.09</v>
      </c>
      <c r="G180" s="324">
        <v>0.05</v>
      </c>
    </row>
    <row r="181" spans="1:7" x14ac:dyDescent="0.3">
      <c r="A181" s="326" t="s">
        <v>1615</v>
      </c>
      <c r="B181" s="325">
        <v>13001</v>
      </c>
      <c r="C181" s="325">
        <v>0.1</v>
      </c>
      <c r="D181" s="325">
        <v>0.1</v>
      </c>
      <c r="E181" s="325" t="s">
        <v>743</v>
      </c>
      <c r="F181" s="325">
        <v>0.05</v>
      </c>
      <c r="G181" s="324">
        <v>0.03</v>
      </c>
    </row>
    <row r="182" spans="1:7" x14ac:dyDescent="0.3">
      <c r="A182" s="326" t="s">
        <v>1614</v>
      </c>
      <c r="B182" s="325">
        <v>18150</v>
      </c>
      <c r="C182" s="325">
        <v>0.05</v>
      </c>
      <c r="D182" s="325">
        <v>0.05</v>
      </c>
      <c r="E182" s="325" t="s">
        <v>743</v>
      </c>
      <c r="F182" s="325">
        <v>0.04</v>
      </c>
      <c r="G182" s="324">
        <v>0.02</v>
      </c>
    </row>
    <row r="183" spans="1:7" x14ac:dyDescent="0.3">
      <c r="A183" s="326" t="s">
        <v>1613</v>
      </c>
      <c r="B183" s="325">
        <v>76147</v>
      </c>
      <c r="C183" s="325">
        <v>0.25</v>
      </c>
      <c r="D183" s="325">
        <v>0.25</v>
      </c>
      <c r="E183" s="325" t="s">
        <v>747</v>
      </c>
      <c r="F183" s="325">
        <v>0.16</v>
      </c>
      <c r="G183" s="324">
        <v>0.1</v>
      </c>
    </row>
    <row r="184" spans="1:7" x14ac:dyDescent="0.3">
      <c r="A184" s="326" t="s">
        <v>1612</v>
      </c>
      <c r="B184" s="325">
        <v>97161</v>
      </c>
      <c r="C184" s="325">
        <v>0.05</v>
      </c>
      <c r="D184" s="325">
        <v>0.05</v>
      </c>
      <c r="E184" s="325" t="s">
        <v>743</v>
      </c>
      <c r="F184" s="325">
        <v>0.04</v>
      </c>
      <c r="G184" s="324">
        <v>0.02</v>
      </c>
    </row>
    <row r="185" spans="1:7" x14ac:dyDescent="0.3">
      <c r="A185" s="326" t="s">
        <v>1611</v>
      </c>
      <c r="B185" s="325">
        <v>73152</v>
      </c>
      <c r="C185" s="325">
        <v>0.2</v>
      </c>
      <c r="D185" s="325">
        <v>0.2</v>
      </c>
      <c r="E185" s="325" t="s">
        <v>719</v>
      </c>
      <c r="F185" s="325">
        <v>0.16</v>
      </c>
      <c r="G185" s="324">
        <v>0.08</v>
      </c>
    </row>
    <row r="186" spans="1:7" x14ac:dyDescent="0.3">
      <c r="A186" s="326" t="s">
        <v>1610</v>
      </c>
      <c r="B186" s="325">
        <v>50150</v>
      </c>
      <c r="C186" s="325">
        <v>0.2</v>
      </c>
      <c r="D186" s="325">
        <v>0.25</v>
      </c>
      <c r="E186" s="325" t="s">
        <v>747</v>
      </c>
      <c r="F186" s="325">
        <v>7.0000000000000007E-2</v>
      </c>
      <c r="G186" s="324">
        <v>0.03</v>
      </c>
    </row>
    <row r="187" spans="1:7" x14ac:dyDescent="0.3">
      <c r="A187" s="326" t="s">
        <v>1609</v>
      </c>
      <c r="B187" s="325">
        <v>5154</v>
      </c>
      <c r="C187" s="325">
        <v>0.15</v>
      </c>
      <c r="D187" s="325">
        <v>0.2</v>
      </c>
      <c r="E187" s="325" t="s">
        <v>719</v>
      </c>
      <c r="F187" s="325">
        <v>0.04</v>
      </c>
      <c r="G187" s="324">
        <v>0.02</v>
      </c>
    </row>
    <row r="188" spans="1:7" x14ac:dyDescent="0.3">
      <c r="A188" s="326" t="s">
        <v>1608</v>
      </c>
      <c r="B188" s="325">
        <v>68160</v>
      </c>
      <c r="C188" s="325">
        <v>0.25</v>
      </c>
      <c r="D188" s="325">
        <v>0.25</v>
      </c>
      <c r="E188" s="325" t="s">
        <v>747</v>
      </c>
      <c r="F188" s="325">
        <v>0.11</v>
      </c>
      <c r="G188" s="324">
        <v>0.06</v>
      </c>
    </row>
    <row r="189" spans="1:7" x14ac:dyDescent="0.3">
      <c r="A189" s="326" t="s">
        <v>1607</v>
      </c>
      <c r="B189" s="325">
        <v>23162</v>
      </c>
      <c r="C189" s="325">
        <v>0.1</v>
      </c>
      <c r="D189" s="325">
        <v>0.15</v>
      </c>
      <c r="E189" s="325" t="s">
        <v>719</v>
      </c>
      <c r="F189" s="325">
        <v>0.06</v>
      </c>
      <c r="G189" s="324">
        <v>0.04</v>
      </c>
    </row>
    <row r="190" spans="1:7" x14ac:dyDescent="0.3">
      <c r="A190" s="326" t="s">
        <v>1606</v>
      </c>
      <c r="B190" s="325">
        <v>15162</v>
      </c>
      <c r="C190" s="325">
        <v>0.2</v>
      </c>
      <c r="D190" s="325">
        <v>0.25</v>
      </c>
      <c r="E190" s="325" t="s">
        <v>747</v>
      </c>
      <c r="F190" s="325">
        <v>0.15</v>
      </c>
      <c r="G190" s="324">
        <v>7.0000000000000007E-2</v>
      </c>
    </row>
    <row r="191" spans="1:7" x14ac:dyDescent="0.3">
      <c r="A191" s="326" t="s">
        <v>1605</v>
      </c>
      <c r="B191" s="325">
        <v>68162</v>
      </c>
      <c r="C191" s="325">
        <v>0.25</v>
      </c>
      <c r="D191" s="325">
        <v>0.25</v>
      </c>
      <c r="E191" s="325" t="s">
        <v>747</v>
      </c>
      <c r="F191" s="325">
        <v>0.11</v>
      </c>
      <c r="G191" s="324">
        <v>0.06</v>
      </c>
    </row>
    <row r="192" spans="1:7" x14ac:dyDescent="0.3">
      <c r="A192" s="326" t="s">
        <v>1604</v>
      </c>
      <c r="B192" s="325">
        <v>47161</v>
      </c>
      <c r="C192" s="325">
        <v>0.1</v>
      </c>
      <c r="D192" s="325">
        <v>0.1</v>
      </c>
      <c r="E192" s="325" t="s">
        <v>743</v>
      </c>
      <c r="F192" s="325">
        <v>0.04</v>
      </c>
      <c r="G192" s="324">
        <v>0.02</v>
      </c>
    </row>
    <row r="193" spans="1:7" x14ac:dyDescent="0.3">
      <c r="A193" s="326" t="s">
        <v>1603</v>
      </c>
      <c r="B193" s="325">
        <v>27160</v>
      </c>
      <c r="C193" s="325">
        <v>0.35</v>
      </c>
      <c r="D193" s="325">
        <v>0.35</v>
      </c>
      <c r="E193" s="325" t="s">
        <v>747</v>
      </c>
      <c r="F193" s="325">
        <v>0.24</v>
      </c>
      <c r="G193" s="324">
        <v>0.1</v>
      </c>
    </row>
    <row r="194" spans="1:7" x14ac:dyDescent="0.3">
      <c r="A194" s="326" t="s">
        <v>1602</v>
      </c>
      <c r="B194" s="325">
        <v>52240</v>
      </c>
      <c r="C194" s="325">
        <v>0.25</v>
      </c>
      <c r="D194" s="325">
        <v>0.25</v>
      </c>
      <c r="E194" s="325" t="s">
        <v>747</v>
      </c>
      <c r="F194" s="325">
        <v>0.11</v>
      </c>
      <c r="G194" s="324">
        <v>7.0000000000000007E-2</v>
      </c>
    </row>
    <row r="195" spans="1:7" x14ac:dyDescent="0.3">
      <c r="A195" s="326" t="s">
        <v>1601</v>
      </c>
      <c r="B195" s="325">
        <v>25168</v>
      </c>
      <c r="C195" s="325">
        <v>0.15</v>
      </c>
      <c r="D195" s="325">
        <v>0.2</v>
      </c>
      <c r="E195" s="325" t="s">
        <v>719</v>
      </c>
      <c r="F195" s="325">
        <v>0.16</v>
      </c>
      <c r="G195" s="324">
        <v>0.06</v>
      </c>
    </row>
    <row r="196" spans="1:7" x14ac:dyDescent="0.3">
      <c r="A196" s="326" t="s">
        <v>1600</v>
      </c>
      <c r="B196" s="325">
        <v>70230</v>
      </c>
      <c r="C196" s="325">
        <v>0.1</v>
      </c>
      <c r="D196" s="325">
        <v>0.15</v>
      </c>
      <c r="E196" s="325" t="s">
        <v>719</v>
      </c>
      <c r="F196" s="325">
        <v>0.08</v>
      </c>
      <c r="G196" s="324">
        <v>0.04</v>
      </c>
    </row>
    <row r="197" spans="1:7" x14ac:dyDescent="0.3">
      <c r="A197" s="326" t="s">
        <v>1599</v>
      </c>
      <c r="B197" s="325">
        <v>85015</v>
      </c>
      <c r="C197" s="325">
        <v>0.3</v>
      </c>
      <c r="D197" s="325">
        <v>0.3</v>
      </c>
      <c r="E197" s="325" t="s">
        <v>747</v>
      </c>
      <c r="F197" s="325">
        <v>0.16</v>
      </c>
      <c r="G197" s="324">
        <v>0.08</v>
      </c>
    </row>
    <row r="198" spans="1:7" x14ac:dyDescent="0.3">
      <c r="A198" s="326" t="s">
        <v>1598</v>
      </c>
      <c r="B198" s="325">
        <v>73168</v>
      </c>
      <c r="C198" s="325">
        <v>0.25</v>
      </c>
      <c r="D198" s="325">
        <v>0.2</v>
      </c>
      <c r="E198" s="325" t="s">
        <v>747</v>
      </c>
      <c r="F198" s="325">
        <v>0.08</v>
      </c>
      <c r="G198" s="324">
        <v>0.05</v>
      </c>
    </row>
    <row r="199" spans="1:7" x14ac:dyDescent="0.3">
      <c r="A199" s="326" t="s">
        <v>1597</v>
      </c>
      <c r="B199" s="325">
        <v>68167</v>
      </c>
      <c r="C199" s="325">
        <v>0.2</v>
      </c>
      <c r="D199" s="325">
        <v>0.25</v>
      </c>
      <c r="E199" s="325" t="s">
        <v>747</v>
      </c>
      <c r="F199" s="325">
        <v>0.08</v>
      </c>
      <c r="G199" s="324">
        <v>0.05</v>
      </c>
    </row>
    <row r="200" spans="1:7" x14ac:dyDescent="0.3">
      <c r="A200" s="326" t="s">
        <v>1596</v>
      </c>
      <c r="B200" s="325">
        <v>68169</v>
      </c>
      <c r="C200" s="325">
        <v>0.25</v>
      </c>
      <c r="D200" s="325">
        <v>0.25</v>
      </c>
      <c r="E200" s="325" t="s">
        <v>747</v>
      </c>
      <c r="F200" s="325">
        <v>0.09</v>
      </c>
      <c r="G200" s="324">
        <v>0.06</v>
      </c>
    </row>
    <row r="201" spans="1:7" x14ac:dyDescent="0.3">
      <c r="A201" s="326" t="s">
        <v>1595</v>
      </c>
      <c r="B201" s="325">
        <v>25175</v>
      </c>
      <c r="C201" s="325">
        <v>0.15</v>
      </c>
      <c r="D201" s="325">
        <v>0.2</v>
      </c>
      <c r="E201" s="325" t="s">
        <v>719</v>
      </c>
      <c r="F201" s="325">
        <v>0.09</v>
      </c>
      <c r="G201" s="324">
        <v>0.05</v>
      </c>
    </row>
    <row r="202" spans="1:7" x14ac:dyDescent="0.3">
      <c r="A202" s="326" t="s">
        <v>1594</v>
      </c>
      <c r="B202" s="325">
        <v>5172</v>
      </c>
      <c r="C202" s="325">
        <v>0.25</v>
      </c>
      <c r="D202" s="325">
        <v>0.3</v>
      </c>
      <c r="E202" s="325" t="s">
        <v>747</v>
      </c>
      <c r="F202" s="325">
        <v>0.19</v>
      </c>
      <c r="G202" s="324">
        <v>0.1</v>
      </c>
    </row>
    <row r="203" spans="1:7" x14ac:dyDescent="0.3">
      <c r="A203" s="326" t="s">
        <v>1593</v>
      </c>
      <c r="B203" s="325">
        <v>23168</v>
      </c>
      <c r="C203" s="325">
        <v>0.1</v>
      </c>
      <c r="D203" s="325">
        <v>0.15</v>
      </c>
      <c r="E203" s="325" t="s">
        <v>719</v>
      </c>
      <c r="F203" s="325">
        <v>7.0000000000000007E-2</v>
      </c>
      <c r="G203" s="324">
        <v>0.04</v>
      </c>
    </row>
    <row r="204" spans="1:7" x14ac:dyDescent="0.3">
      <c r="A204" s="326" t="s">
        <v>1592</v>
      </c>
      <c r="B204" s="325">
        <v>68176</v>
      </c>
      <c r="C204" s="325">
        <v>0.15</v>
      </c>
      <c r="D204" s="325">
        <v>0.2</v>
      </c>
      <c r="E204" s="325" t="s">
        <v>719</v>
      </c>
      <c r="F204" s="325">
        <v>0.2</v>
      </c>
      <c r="G204" s="324">
        <v>0.1</v>
      </c>
    </row>
    <row r="205" spans="1:7" x14ac:dyDescent="0.3">
      <c r="A205" s="326" t="s">
        <v>1591</v>
      </c>
      <c r="B205" s="325">
        <v>20175</v>
      </c>
      <c r="C205" s="325">
        <v>0.1</v>
      </c>
      <c r="D205" s="325">
        <v>0.1</v>
      </c>
      <c r="E205" s="325" t="s">
        <v>743</v>
      </c>
      <c r="F205" s="325">
        <v>0.08</v>
      </c>
      <c r="G205" s="324">
        <v>0.04</v>
      </c>
    </row>
    <row r="206" spans="1:7" x14ac:dyDescent="0.3">
      <c r="A206" s="326" t="s">
        <v>1590</v>
      </c>
      <c r="B206" s="325">
        <v>54172</v>
      </c>
      <c r="C206" s="325">
        <v>0.35</v>
      </c>
      <c r="D206" s="325">
        <v>0.3</v>
      </c>
      <c r="E206" s="325" t="s">
        <v>747</v>
      </c>
      <c r="F206" s="325">
        <v>0.16</v>
      </c>
      <c r="G206" s="324">
        <v>7.0000000000000007E-2</v>
      </c>
    </row>
    <row r="207" spans="1:7" x14ac:dyDescent="0.3">
      <c r="A207" s="326" t="s">
        <v>1589</v>
      </c>
      <c r="B207" s="325">
        <v>15172</v>
      </c>
      <c r="C207" s="325">
        <v>0.2</v>
      </c>
      <c r="D207" s="325">
        <v>0.25</v>
      </c>
      <c r="E207" s="325" t="s">
        <v>747</v>
      </c>
      <c r="F207" s="325">
        <v>0.16</v>
      </c>
      <c r="G207" s="324">
        <v>0.08</v>
      </c>
    </row>
    <row r="208" spans="1:7" x14ac:dyDescent="0.3">
      <c r="A208" s="326" t="s">
        <v>1588</v>
      </c>
      <c r="B208" s="325">
        <v>17174</v>
      </c>
      <c r="C208" s="325">
        <v>0.25</v>
      </c>
      <c r="D208" s="325">
        <v>0.25</v>
      </c>
      <c r="E208" s="325" t="s">
        <v>747</v>
      </c>
      <c r="F208" s="325">
        <v>0.2</v>
      </c>
      <c r="G208" s="324">
        <v>0.1</v>
      </c>
    </row>
    <row r="209" spans="1:7" x14ac:dyDescent="0.3">
      <c r="A209" s="326" t="s">
        <v>1587</v>
      </c>
      <c r="B209" s="325">
        <v>23182</v>
      </c>
      <c r="C209" s="325">
        <v>0.1</v>
      </c>
      <c r="D209" s="325">
        <v>0.15</v>
      </c>
      <c r="E209" s="325" t="s">
        <v>719</v>
      </c>
      <c r="F209" s="325">
        <v>0.08</v>
      </c>
      <c r="G209" s="324">
        <v>0.04</v>
      </c>
    </row>
    <row r="210" spans="1:7" x14ac:dyDescent="0.3">
      <c r="A210" s="326" t="s">
        <v>1586</v>
      </c>
      <c r="B210" s="325">
        <v>25178</v>
      </c>
      <c r="C210" s="325">
        <v>0.2</v>
      </c>
      <c r="D210" s="325">
        <v>0.25</v>
      </c>
      <c r="E210" s="325" t="s">
        <v>747</v>
      </c>
      <c r="F210" s="325">
        <v>0.11</v>
      </c>
      <c r="G210" s="324">
        <v>0.05</v>
      </c>
    </row>
    <row r="211" spans="1:7" x14ac:dyDescent="0.3">
      <c r="A211" s="326" t="s">
        <v>1585</v>
      </c>
      <c r="B211" s="325">
        <v>68179</v>
      </c>
      <c r="C211" s="325">
        <v>0.15</v>
      </c>
      <c r="D211" s="325">
        <v>0.2</v>
      </c>
      <c r="E211" s="325" t="s">
        <v>719</v>
      </c>
      <c r="F211" s="325">
        <v>0.11</v>
      </c>
      <c r="G211" s="324">
        <v>7.0000000000000007E-2</v>
      </c>
    </row>
    <row r="212" spans="1:7" x14ac:dyDescent="0.3">
      <c r="A212" s="326" t="s">
        <v>1584</v>
      </c>
      <c r="B212" s="325">
        <v>15176</v>
      </c>
      <c r="C212" s="325">
        <v>0.15</v>
      </c>
      <c r="D212" s="325">
        <v>0.2</v>
      </c>
      <c r="E212" s="325" t="s">
        <v>719</v>
      </c>
      <c r="F212" s="325">
        <v>0.1</v>
      </c>
      <c r="G212" s="324">
        <v>0.06</v>
      </c>
    </row>
    <row r="213" spans="1:7" x14ac:dyDescent="0.3">
      <c r="A213" s="326" t="s">
        <v>1583</v>
      </c>
      <c r="B213" s="325">
        <v>15232</v>
      </c>
      <c r="C213" s="325">
        <v>0.2</v>
      </c>
      <c r="D213" s="325">
        <v>0.2</v>
      </c>
      <c r="E213" s="325" t="s">
        <v>719</v>
      </c>
      <c r="F213" s="325">
        <v>0.1</v>
      </c>
      <c r="G213" s="324">
        <v>0.05</v>
      </c>
    </row>
    <row r="214" spans="1:7" x14ac:dyDescent="0.3">
      <c r="A214" s="326" t="s">
        <v>1582</v>
      </c>
      <c r="B214" s="325">
        <v>20178</v>
      </c>
      <c r="C214" s="325">
        <v>0.1</v>
      </c>
      <c r="D214" s="325">
        <v>0.1</v>
      </c>
      <c r="E214" s="325" t="s">
        <v>743</v>
      </c>
      <c r="F214" s="325">
        <v>0.08</v>
      </c>
      <c r="G214" s="324">
        <v>0.04</v>
      </c>
    </row>
    <row r="215" spans="1:7" x14ac:dyDescent="0.3">
      <c r="A215" s="326" t="s">
        <v>1581</v>
      </c>
      <c r="B215" s="325">
        <v>15180</v>
      </c>
      <c r="C215" s="325">
        <v>0.25</v>
      </c>
      <c r="D215" s="325">
        <v>0.3</v>
      </c>
      <c r="E215" s="325" t="s">
        <v>747</v>
      </c>
      <c r="F215" s="325">
        <v>0.16</v>
      </c>
      <c r="G215" s="324">
        <v>0.08</v>
      </c>
    </row>
    <row r="216" spans="1:7" x14ac:dyDescent="0.3">
      <c r="A216" s="326" t="s">
        <v>1580</v>
      </c>
      <c r="B216" s="325">
        <v>15183</v>
      </c>
      <c r="C216" s="325">
        <v>0.25</v>
      </c>
      <c r="D216" s="325">
        <v>0.3</v>
      </c>
      <c r="E216" s="325" t="s">
        <v>747</v>
      </c>
      <c r="F216" s="325">
        <v>0.16</v>
      </c>
      <c r="G216" s="324">
        <v>0.08</v>
      </c>
    </row>
    <row r="217" spans="1:7" x14ac:dyDescent="0.3">
      <c r="A217" s="326" t="s">
        <v>1579</v>
      </c>
      <c r="B217" s="325">
        <v>54174</v>
      </c>
      <c r="C217" s="325">
        <v>0.3</v>
      </c>
      <c r="D217" s="325">
        <v>0.3</v>
      </c>
      <c r="E217" s="325" t="s">
        <v>747</v>
      </c>
      <c r="F217" s="325">
        <v>0.11</v>
      </c>
      <c r="G217" s="324">
        <v>0.05</v>
      </c>
    </row>
    <row r="218" spans="1:7" x14ac:dyDescent="0.3">
      <c r="A218" s="326" t="s">
        <v>1578</v>
      </c>
      <c r="B218" s="325">
        <v>15185</v>
      </c>
      <c r="C218" s="325">
        <v>0.15</v>
      </c>
      <c r="D218" s="325">
        <v>0.2</v>
      </c>
      <c r="E218" s="325" t="s">
        <v>719</v>
      </c>
      <c r="F218" s="325">
        <v>0.1</v>
      </c>
      <c r="G218" s="324">
        <v>0.06</v>
      </c>
    </row>
    <row r="219" spans="1:7" x14ac:dyDescent="0.3">
      <c r="A219" s="326" t="s">
        <v>1577</v>
      </c>
      <c r="B219" s="325">
        <v>15187</v>
      </c>
      <c r="C219" s="325">
        <v>0.15</v>
      </c>
      <c r="D219" s="325">
        <v>0.25</v>
      </c>
      <c r="E219" s="325" t="s">
        <v>747</v>
      </c>
      <c r="F219" s="325">
        <v>0.14000000000000001</v>
      </c>
      <c r="G219" s="324">
        <v>7.0000000000000007E-2</v>
      </c>
    </row>
    <row r="220" spans="1:7" x14ac:dyDescent="0.3">
      <c r="A220" s="326" t="s">
        <v>1576</v>
      </c>
      <c r="B220" s="325">
        <v>47170</v>
      </c>
      <c r="C220" s="325">
        <v>0.1</v>
      </c>
      <c r="D220" s="325">
        <v>0.1</v>
      </c>
      <c r="E220" s="325" t="s">
        <v>743</v>
      </c>
      <c r="F220" s="325">
        <v>0.04</v>
      </c>
      <c r="G220" s="324">
        <v>0.02</v>
      </c>
    </row>
    <row r="221" spans="1:7" x14ac:dyDescent="0.3">
      <c r="A221" s="326" t="s">
        <v>1575</v>
      </c>
      <c r="B221" s="325">
        <v>15236</v>
      </c>
      <c r="C221" s="325">
        <v>0.25</v>
      </c>
      <c r="D221" s="325">
        <v>0.25</v>
      </c>
      <c r="E221" s="325" t="s">
        <v>747</v>
      </c>
      <c r="F221" s="325">
        <v>0.16</v>
      </c>
      <c r="G221" s="324">
        <v>0.08</v>
      </c>
    </row>
    <row r="222" spans="1:7" x14ac:dyDescent="0.3">
      <c r="A222" s="326" t="s">
        <v>1574</v>
      </c>
      <c r="B222" s="325">
        <v>25181</v>
      </c>
      <c r="C222" s="325">
        <v>0.2</v>
      </c>
      <c r="D222" s="325">
        <v>0.25</v>
      </c>
      <c r="E222" s="325" t="s">
        <v>747</v>
      </c>
      <c r="F222" s="325">
        <v>0.12</v>
      </c>
      <c r="G222" s="324">
        <v>0.06</v>
      </c>
    </row>
    <row r="223" spans="1:7" x14ac:dyDescent="0.3">
      <c r="A223" s="326" t="s">
        <v>1573</v>
      </c>
      <c r="B223" s="325">
        <v>25183</v>
      </c>
      <c r="C223" s="325">
        <v>0.15</v>
      </c>
      <c r="D223" s="325">
        <v>0.2</v>
      </c>
      <c r="E223" s="325" t="s">
        <v>719</v>
      </c>
      <c r="F223" s="325">
        <v>0.1</v>
      </c>
      <c r="G223" s="324">
        <v>0.05</v>
      </c>
    </row>
    <row r="224" spans="1:7" x14ac:dyDescent="0.3">
      <c r="A224" s="326" t="s">
        <v>1572</v>
      </c>
      <c r="B224" s="325">
        <v>13188</v>
      </c>
      <c r="C224" s="325">
        <v>0.1</v>
      </c>
      <c r="D224" s="325">
        <v>0.15</v>
      </c>
      <c r="E224" s="325" t="s">
        <v>719</v>
      </c>
      <c r="F224" s="325">
        <v>0.04</v>
      </c>
      <c r="G224" s="324">
        <v>0.03</v>
      </c>
    </row>
    <row r="225" spans="1:7" x14ac:dyDescent="0.3">
      <c r="A225" s="326" t="s">
        <v>1571</v>
      </c>
      <c r="B225" s="325">
        <v>47189</v>
      </c>
      <c r="C225" s="325">
        <v>0.1</v>
      </c>
      <c r="D225" s="325">
        <v>0.1</v>
      </c>
      <c r="E225" s="325" t="s">
        <v>743</v>
      </c>
      <c r="F225" s="325">
        <v>0.06</v>
      </c>
      <c r="G225" s="324">
        <v>0.02</v>
      </c>
    </row>
    <row r="226" spans="1:7" x14ac:dyDescent="0.3">
      <c r="A226" s="326" t="s">
        <v>1570</v>
      </c>
      <c r="B226" s="325">
        <v>23189</v>
      </c>
      <c r="C226" s="325">
        <v>0.1</v>
      </c>
      <c r="D226" s="325">
        <v>0.15</v>
      </c>
      <c r="E226" s="325" t="s">
        <v>719</v>
      </c>
      <c r="F226" s="325">
        <v>0.08</v>
      </c>
      <c r="G226" s="324">
        <v>0.04</v>
      </c>
    </row>
    <row r="227" spans="1:7" x14ac:dyDescent="0.3">
      <c r="A227" s="326" t="s">
        <v>1569</v>
      </c>
      <c r="B227" s="325">
        <v>15189</v>
      </c>
      <c r="C227" s="325">
        <v>0.2</v>
      </c>
      <c r="D227" s="325">
        <v>0.25</v>
      </c>
      <c r="E227" s="325" t="s">
        <v>747</v>
      </c>
      <c r="F227" s="325">
        <v>0.16</v>
      </c>
      <c r="G227" s="324">
        <v>0.08</v>
      </c>
    </row>
    <row r="228" spans="1:7" x14ac:dyDescent="0.3">
      <c r="A228" s="326" t="s">
        <v>1568</v>
      </c>
      <c r="B228" s="325">
        <v>68190</v>
      </c>
      <c r="C228" s="325">
        <v>0.15</v>
      </c>
      <c r="D228" s="325">
        <v>0.15</v>
      </c>
      <c r="E228" s="325" t="s">
        <v>719</v>
      </c>
      <c r="F228" s="325">
        <v>0.06</v>
      </c>
      <c r="G228" s="324">
        <v>0.04</v>
      </c>
    </row>
    <row r="229" spans="1:7" x14ac:dyDescent="0.3">
      <c r="A229" s="326" t="s">
        <v>1567</v>
      </c>
      <c r="B229" s="325">
        <v>63190</v>
      </c>
      <c r="C229" s="325">
        <v>0.25</v>
      </c>
      <c r="D229" s="325">
        <v>0.25</v>
      </c>
      <c r="E229" s="325" t="s">
        <v>747</v>
      </c>
      <c r="F229" s="325">
        <v>0.2</v>
      </c>
      <c r="G229" s="324">
        <v>0.11</v>
      </c>
    </row>
    <row r="230" spans="1:7" x14ac:dyDescent="0.3">
      <c r="A230" s="326" t="s">
        <v>1566</v>
      </c>
      <c r="B230" s="325">
        <v>5190</v>
      </c>
      <c r="C230" s="325">
        <v>0.15</v>
      </c>
      <c r="D230" s="325">
        <v>0.2</v>
      </c>
      <c r="E230" s="325" t="s">
        <v>719</v>
      </c>
      <c r="F230" s="325">
        <v>0.09</v>
      </c>
      <c r="G230" s="324">
        <v>0.04</v>
      </c>
    </row>
    <row r="231" spans="1:7" x14ac:dyDescent="0.3">
      <c r="A231" s="326" t="s">
        <v>1565</v>
      </c>
      <c r="B231" s="325">
        <v>5101</v>
      </c>
      <c r="C231" s="325">
        <v>0.25</v>
      </c>
      <c r="D231" s="325">
        <v>0.3</v>
      </c>
      <c r="E231" s="325" t="s">
        <v>747</v>
      </c>
      <c r="F231" s="325">
        <v>0.16</v>
      </c>
      <c r="G231" s="324">
        <v>0.1</v>
      </c>
    </row>
    <row r="232" spans="1:7" x14ac:dyDescent="0.3">
      <c r="A232" s="326" t="s">
        <v>1564</v>
      </c>
      <c r="B232" s="325">
        <v>13222</v>
      </c>
      <c r="C232" s="325">
        <v>0.1</v>
      </c>
      <c r="D232" s="325">
        <v>0.1</v>
      </c>
      <c r="E232" s="325" t="s">
        <v>743</v>
      </c>
      <c r="F232" s="325">
        <v>0.05</v>
      </c>
      <c r="G232" s="324">
        <v>0.03</v>
      </c>
    </row>
    <row r="233" spans="1:7" x14ac:dyDescent="0.3">
      <c r="A233" s="326" t="s">
        <v>1563</v>
      </c>
      <c r="B233" s="325">
        <v>5197</v>
      </c>
      <c r="C233" s="325">
        <v>0.15</v>
      </c>
      <c r="D233" s="325">
        <v>0.2</v>
      </c>
      <c r="E233" s="325" t="s">
        <v>719</v>
      </c>
      <c r="F233" s="325">
        <v>0.11</v>
      </c>
      <c r="G233" s="324">
        <v>0.06</v>
      </c>
    </row>
    <row r="234" spans="1:7" x14ac:dyDescent="0.3">
      <c r="A234" s="326" t="s">
        <v>1562</v>
      </c>
      <c r="B234" s="325">
        <v>73200</v>
      </c>
      <c r="C234" s="325">
        <v>0.2</v>
      </c>
      <c r="D234" s="325">
        <v>0.2</v>
      </c>
      <c r="E234" s="325" t="s">
        <v>719</v>
      </c>
      <c r="F234" s="325">
        <v>0.11</v>
      </c>
      <c r="G234" s="324">
        <v>0.06</v>
      </c>
    </row>
    <row r="235" spans="1:7" x14ac:dyDescent="0.3">
      <c r="A235" s="326" t="s">
        <v>1561</v>
      </c>
      <c r="B235" s="325">
        <v>25200</v>
      </c>
      <c r="C235" s="325">
        <v>0.15</v>
      </c>
      <c r="D235" s="325">
        <v>0.2</v>
      </c>
      <c r="E235" s="325" t="s">
        <v>719</v>
      </c>
      <c r="F235" s="325">
        <v>0.09</v>
      </c>
      <c r="G235" s="324">
        <v>0.05</v>
      </c>
    </row>
    <row r="236" spans="1:7" x14ac:dyDescent="0.3">
      <c r="A236" s="326" t="s">
        <v>1560</v>
      </c>
      <c r="B236" s="325">
        <v>41206</v>
      </c>
      <c r="C236" s="325">
        <v>0.3</v>
      </c>
      <c r="D236" s="325">
        <v>0.25</v>
      </c>
      <c r="E236" s="325" t="s">
        <v>747</v>
      </c>
      <c r="F236" s="325">
        <v>0.19</v>
      </c>
      <c r="G236" s="324">
        <v>0.08</v>
      </c>
    </row>
    <row r="237" spans="1:7" x14ac:dyDescent="0.3">
      <c r="A237" s="326" t="s">
        <v>1559</v>
      </c>
      <c r="B237" s="325">
        <v>52203</v>
      </c>
      <c r="C237" s="325">
        <v>0.25</v>
      </c>
      <c r="D237" s="325">
        <v>0.25</v>
      </c>
      <c r="E237" s="325" t="s">
        <v>747</v>
      </c>
      <c r="F237" s="325">
        <v>0.15</v>
      </c>
      <c r="G237" s="324">
        <v>0.08</v>
      </c>
    </row>
    <row r="238" spans="1:7" x14ac:dyDescent="0.3">
      <c r="A238" s="326" t="s">
        <v>1559</v>
      </c>
      <c r="B238" s="325">
        <v>86219</v>
      </c>
      <c r="C238" s="325">
        <v>0.25</v>
      </c>
      <c r="D238" s="325">
        <v>0.25</v>
      </c>
      <c r="E238" s="325" t="s">
        <v>747</v>
      </c>
      <c r="F238" s="325">
        <v>0.13</v>
      </c>
      <c r="G238" s="324">
        <v>0.08</v>
      </c>
    </row>
    <row r="239" spans="1:7" x14ac:dyDescent="0.3">
      <c r="A239" s="326" t="s">
        <v>1558</v>
      </c>
      <c r="B239" s="325">
        <v>70204</v>
      </c>
      <c r="C239" s="325">
        <v>0.1</v>
      </c>
      <c r="D239" s="325">
        <v>0.15</v>
      </c>
      <c r="E239" s="325" t="s">
        <v>719</v>
      </c>
      <c r="F239" s="325">
        <v>7.0000000000000007E-2</v>
      </c>
      <c r="G239" s="324">
        <v>0.04</v>
      </c>
    </row>
    <row r="240" spans="1:7" x14ac:dyDescent="0.3">
      <c r="A240" s="326" t="s">
        <v>1557</v>
      </c>
      <c r="B240" s="325">
        <v>15204</v>
      </c>
      <c r="C240" s="325">
        <v>0.2</v>
      </c>
      <c r="D240" s="325">
        <v>0.2</v>
      </c>
      <c r="E240" s="325" t="s">
        <v>719</v>
      </c>
      <c r="F240" s="325">
        <v>0.11</v>
      </c>
      <c r="G240" s="324">
        <v>0.05</v>
      </c>
    </row>
    <row r="241" spans="1:7" x14ac:dyDescent="0.3">
      <c r="A241" s="326" t="s">
        <v>1556</v>
      </c>
      <c r="B241" s="325">
        <v>68207</v>
      </c>
      <c r="C241" s="325">
        <v>0.25</v>
      </c>
      <c r="D241" s="325">
        <v>0.25</v>
      </c>
      <c r="E241" s="325" t="s">
        <v>747</v>
      </c>
      <c r="F241" s="325">
        <v>0.12</v>
      </c>
      <c r="G241" s="324">
        <v>0.06</v>
      </c>
    </row>
    <row r="242" spans="1:7" x14ac:dyDescent="0.3">
      <c r="A242" s="326" t="s">
        <v>1556</v>
      </c>
      <c r="B242" s="325">
        <v>5206</v>
      </c>
      <c r="C242" s="325">
        <v>0.15</v>
      </c>
      <c r="D242" s="325">
        <v>0.2</v>
      </c>
      <c r="E242" s="325" t="s">
        <v>719</v>
      </c>
      <c r="F242" s="325">
        <v>0.1</v>
      </c>
      <c r="G242" s="324">
        <v>0.05</v>
      </c>
    </row>
    <row r="243" spans="1:7" x14ac:dyDescent="0.3">
      <c r="A243" s="326" t="s">
        <v>1555</v>
      </c>
      <c r="B243" s="325">
        <v>5209</v>
      </c>
      <c r="C243" s="325">
        <v>0.25</v>
      </c>
      <c r="D243" s="325">
        <v>0.25</v>
      </c>
      <c r="E243" s="325" t="s">
        <v>747</v>
      </c>
      <c r="F243" s="325">
        <v>0.15</v>
      </c>
      <c r="G243" s="324">
        <v>0.08</v>
      </c>
    </row>
    <row r="244" spans="1:7" x14ac:dyDescent="0.3">
      <c r="A244" s="326" t="s">
        <v>1555</v>
      </c>
      <c r="B244" s="325">
        <v>47205</v>
      </c>
      <c r="C244" s="325">
        <v>0.1</v>
      </c>
      <c r="D244" s="325">
        <v>0.1</v>
      </c>
      <c r="E244" s="325" t="s">
        <v>743</v>
      </c>
      <c r="F244" s="325">
        <v>0.04</v>
      </c>
      <c r="G244" s="324">
        <v>0.02</v>
      </c>
    </row>
    <row r="245" spans="1:7" x14ac:dyDescent="0.3">
      <c r="A245" s="326" t="s">
        <v>1554</v>
      </c>
      <c r="B245" s="325">
        <v>27205</v>
      </c>
      <c r="C245" s="325">
        <v>0.35</v>
      </c>
      <c r="D245" s="325">
        <v>0.35</v>
      </c>
      <c r="E245" s="325" t="s">
        <v>747</v>
      </c>
      <c r="F245" s="325">
        <v>0.24</v>
      </c>
      <c r="G245" s="324">
        <v>0.1</v>
      </c>
    </row>
    <row r="246" spans="1:7" x14ac:dyDescent="0.3">
      <c r="A246" s="326" t="s">
        <v>1553</v>
      </c>
      <c r="B246" s="325">
        <v>68209</v>
      </c>
      <c r="C246" s="325">
        <v>0.2</v>
      </c>
      <c r="D246" s="325">
        <v>0.2</v>
      </c>
      <c r="E246" s="325" t="s">
        <v>719</v>
      </c>
      <c r="F246" s="325">
        <v>0.09</v>
      </c>
      <c r="G246" s="324">
        <v>0.06</v>
      </c>
    </row>
    <row r="247" spans="1:7" x14ac:dyDescent="0.3">
      <c r="A247" s="326" t="s">
        <v>1552</v>
      </c>
      <c r="B247" s="325">
        <v>52207</v>
      </c>
      <c r="C247" s="325">
        <v>0.25</v>
      </c>
      <c r="D247" s="325">
        <v>0.25</v>
      </c>
      <c r="E247" s="325" t="s">
        <v>747</v>
      </c>
      <c r="F247" s="325">
        <v>0.11</v>
      </c>
      <c r="G247" s="324">
        <v>7.0000000000000007E-2</v>
      </c>
    </row>
    <row r="248" spans="1:7" x14ac:dyDescent="0.3">
      <c r="A248" s="326" t="s">
        <v>1551</v>
      </c>
      <c r="B248" s="325">
        <v>52210</v>
      </c>
      <c r="C248" s="325">
        <v>0.25</v>
      </c>
      <c r="D248" s="325">
        <v>0.25</v>
      </c>
      <c r="E248" s="325" t="s">
        <v>747</v>
      </c>
      <c r="F248" s="325">
        <v>0.12</v>
      </c>
      <c r="G248" s="324">
        <v>7.0000000000000007E-2</v>
      </c>
    </row>
    <row r="249" spans="1:7" x14ac:dyDescent="0.3">
      <c r="A249" s="326" t="s">
        <v>1550</v>
      </c>
      <c r="B249" s="325">
        <v>68211</v>
      </c>
      <c r="C249" s="325">
        <v>0.15</v>
      </c>
      <c r="D249" s="325">
        <v>0.2</v>
      </c>
      <c r="E249" s="325" t="s">
        <v>719</v>
      </c>
      <c r="F249" s="325">
        <v>0.2</v>
      </c>
      <c r="G249" s="324">
        <v>0.1</v>
      </c>
    </row>
    <row r="250" spans="1:7" x14ac:dyDescent="0.3">
      <c r="A250" s="326" t="s">
        <v>1549</v>
      </c>
      <c r="B250" s="325">
        <v>54206</v>
      </c>
      <c r="C250" s="325">
        <v>0.2</v>
      </c>
      <c r="D250" s="325">
        <v>0.15</v>
      </c>
      <c r="E250" s="325" t="s">
        <v>719</v>
      </c>
      <c r="F250" s="325">
        <v>0.04</v>
      </c>
      <c r="G250" s="324">
        <v>0.02</v>
      </c>
    </row>
    <row r="251" spans="1:7" x14ac:dyDescent="0.3">
      <c r="A251" s="326" t="s">
        <v>1548</v>
      </c>
      <c r="B251" s="325">
        <v>5212</v>
      </c>
      <c r="C251" s="325">
        <v>0.15</v>
      </c>
      <c r="D251" s="325">
        <v>0.2</v>
      </c>
      <c r="E251" s="325" t="s">
        <v>719</v>
      </c>
      <c r="F251" s="325">
        <v>0.12</v>
      </c>
      <c r="G251" s="324">
        <v>0.06</v>
      </c>
    </row>
    <row r="252" spans="1:7" x14ac:dyDescent="0.3">
      <c r="A252" s="326" t="s">
        <v>1547</v>
      </c>
      <c r="B252" s="325">
        <v>15212</v>
      </c>
      <c r="C252" s="325">
        <v>0.15</v>
      </c>
      <c r="D252" s="325">
        <v>0.15</v>
      </c>
      <c r="E252" s="325" t="s">
        <v>719</v>
      </c>
      <c r="F252" s="325">
        <v>0.11</v>
      </c>
      <c r="G252" s="324">
        <v>0.06</v>
      </c>
    </row>
    <row r="253" spans="1:7" x14ac:dyDescent="0.3">
      <c r="A253" s="326" t="s">
        <v>1546</v>
      </c>
      <c r="B253" s="325">
        <v>52215</v>
      </c>
      <c r="C253" s="325">
        <v>0.25</v>
      </c>
      <c r="D253" s="325">
        <v>0.25</v>
      </c>
      <c r="E253" s="325" t="s">
        <v>747</v>
      </c>
      <c r="F253" s="325">
        <v>0.16</v>
      </c>
      <c r="G253" s="324">
        <v>0.08</v>
      </c>
    </row>
    <row r="254" spans="1:7" x14ac:dyDescent="0.3">
      <c r="A254" s="326" t="s">
        <v>1546</v>
      </c>
      <c r="B254" s="325">
        <v>63212</v>
      </c>
      <c r="C254" s="325">
        <v>0.25</v>
      </c>
      <c r="D254" s="325">
        <v>0.2</v>
      </c>
      <c r="E254" s="325" t="s">
        <v>747</v>
      </c>
      <c r="F254" s="325">
        <v>0.2</v>
      </c>
      <c r="G254" s="324">
        <v>0.1</v>
      </c>
    </row>
    <row r="255" spans="1:7" x14ac:dyDescent="0.3">
      <c r="A255" s="326" t="s">
        <v>1546</v>
      </c>
      <c r="B255" s="325">
        <v>13212</v>
      </c>
      <c r="C255" s="325">
        <v>0.1</v>
      </c>
      <c r="D255" s="325">
        <v>0.1</v>
      </c>
      <c r="E255" s="325" t="s">
        <v>743</v>
      </c>
      <c r="F255" s="325">
        <v>0.05</v>
      </c>
      <c r="G255" s="324">
        <v>0.03</v>
      </c>
    </row>
    <row r="256" spans="1:7" x14ac:dyDescent="0.3">
      <c r="A256" s="326" t="s">
        <v>1545</v>
      </c>
      <c r="B256" s="325">
        <v>19212</v>
      </c>
      <c r="C256" s="325">
        <v>0.25</v>
      </c>
      <c r="D256" s="325">
        <v>0.2</v>
      </c>
      <c r="E256" s="325" t="s">
        <v>747</v>
      </c>
      <c r="F256" s="325">
        <v>0.12</v>
      </c>
      <c r="G256" s="324">
        <v>0.06</v>
      </c>
    </row>
    <row r="257" spans="1:7" x14ac:dyDescent="0.3">
      <c r="A257" s="326" t="s">
        <v>1544</v>
      </c>
      <c r="B257" s="325">
        <v>68217</v>
      </c>
      <c r="C257" s="325">
        <v>0.2</v>
      </c>
      <c r="D257" s="325">
        <v>0.25</v>
      </c>
      <c r="E257" s="325" t="s">
        <v>747</v>
      </c>
      <c r="F257" s="325">
        <v>0.09</v>
      </c>
      <c r="G257" s="324">
        <v>0.06</v>
      </c>
    </row>
    <row r="258" spans="1:7" x14ac:dyDescent="0.3">
      <c r="A258" s="326" t="s">
        <v>1543</v>
      </c>
      <c r="B258" s="325">
        <v>70215</v>
      </c>
      <c r="C258" s="325">
        <v>0.1</v>
      </c>
      <c r="D258" s="325">
        <v>0.15</v>
      </c>
      <c r="E258" s="325" t="s">
        <v>719</v>
      </c>
      <c r="F258" s="325">
        <v>0.05</v>
      </c>
      <c r="G258" s="324">
        <v>0.04</v>
      </c>
    </row>
    <row r="259" spans="1:7" x14ac:dyDescent="0.3">
      <c r="A259" s="326" t="s">
        <v>1542</v>
      </c>
      <c r="B259" s="325">
        <v>15215</v>
      </c>
      <c r="C259" s="325">
        <v>0.25</v>
      </c>
      <c r="D259" s="325">
        <v>0.25</v>
      </c>
      <c r="E259" s="325" t="s">
        <v>747</v>
      </c>
      <c r="F259" s="325">
        <v>0.16</v>
      </c>
      <c r="G259" s="324">
        <v>0.08</v>
      </c>
    </row>
    <row r="260" spans="1:7" x14ac:dyDescent="0.3">
      <c r="A260" s="326" t="s">
        <v>1541</v>
      </c>
      <c r="B260" s="325">
        <v>25214</v>
      </c>
      <c r="C260" s="325">
        <v>0.15</v>
      </c>
      <c r="D260" s="325">
        <v>0.2</v>
      </c>
      <c r="E260" s="325" t="s">
        <v>719</v>
      </c>
      <c r="F260" s="325">
        <v>0.09</v>
      </c>
      <c r="G260" s="324">
        <v>0.05</v>
      </c>
    </row>
    <row r="261" spans="1:7" x14ac:dyDescent="0.3">
      <c r="A261" s="326" t="s">
        <v>1540</v>
      </c>
      <c r="B261" s="325">
        <v>23300</v>
      </c>
      <c r="C261" s="325">
        <v>0.1</v>
      </c>
      <c r="D261" s="325">
        <v>0.15</v>
      </c>
      <c r="E261" s="325" t="s">
        <v>719</v>
      </c>
      <c r="F261" s="325">
        <v>0.06</v>
      </c>
      <c r="G261" s="324">
        <v>0.03</v>
      </c>
    </row>
    <row r="262" spans="1:7" x14ac:dyDescent="0.3">
      <c r="A262" s="326" t="s">
        <v>1539</v>
      </c>
      <c r="B262" s="325">
        <v>15218</v>
      </c>
      <c r="C262" s="325">
        <v>0.2</v>
      </c>
      <c r="D262" s="325">
        <v>0.25</v>
      </c>
      <c r="E262" s="325" t="s">
        <v>747</v>
      </c>
      <c r="F262" s="325">
        <v>0.14000000000000001</v>
      </c>
      <c r="G262" s="324">
        <v>7.0000000000000007E-2</v>
      </c>
    </row>
    <row r="263" spans="1:7" x14ac:dyDescent="0.3">
      <c r="A263" s="326" t="s">
        <v>1796</v>
      </c>
      <c r="B263" s="325">
        <v>70221</v>
      </c>
      <c r="C263" s="325">
        <v>0.1</v>
      </c>
      <c r="D263" s="325">
        <v>0.15</v>
      </c>
      <c r="E263" s="325" t="s">
        <v>719</v>
      </c>
      <c r="F263" s="325">
        <v>0.05</v>
      </c>
      <c r="G263" s="324">
        <v>0.04</v>
      </c>
    </row>
    <row r="264" spans="1:7" x14ac:dyDescent="0.3">
      <c r="A264" s="326" t="s">
        <v>1538</v>
      </c>
      <c r="B264" s="325">
        <v>73217</v>
      </c>
      <c r="C264" s="325">
        <v>0.25</v>
      </c>
      <c r="D264" s="325">
        <v>0.2</v>
      </c>
      <c r="E264" s="325" t="s">
        <v>747</v>
      </c>
      <c r="F264" s="325">
        <v>0.09</v>
      </c>
      <c r="G264" s="324">
        <v>0.05</v>
      </c>
    </row>
    <row r="265" spans="1:7" x14ac:dyDescent="0.3">
      <c r="A265" s="326" t="s">
        <v>1537</v>
      </c>
      <c r="B265" s="325">
        <v>81220</v>
      </c>
      <c r="C265" s="325">
        <v>0.05</v>
      </c>
      <c r="D265" s="325">
        <v>0.05</v>
      </c>
      <c r="E265" s="325" t="s">
        <v>743</v>
      </c>
      <c r="F265" s="325">
        <v>0.03</v>
      </c>
      <c r="G265" s="324">
        <v>0.02</v>
      </c>
    </row>
    <row r="266" spans="1:7" x14ac:dyDescent="0.3">
      <c r="A266" s="326" t="s">
        <v>1536</v>
      </c>
      <c r="B266" s="325">
        <v>52224</v>
      </c>
      <c r="C266" s="325">
        <v>0.25</v>
      </c>
      <c r="D266" s="325">
        <v>0.25</v>
      </c>
      <c r="E266" s="325" t="s">
        <v>747</v>
      </c>
      <c r="F266" s="325">
        <v>0.14000000000000001</v>
      </c>
      <c r="G266" s="324">
        <v>0.08</v>
      </c>
    </row>
    <row r="267" spans="1:7" x14ac:dyDescent="0.3">
      <c r="A267" s="326" t="s">
        <v>1535</v>
      </c>
      <c r="B267" s="325">
        <v>15223</v>
      </c>
      <c r="C267" s="325">
        <v>0.3</v>
      </c>
      <c r="D267" s="325">
        <v>0.3</v>
      </c>
      <c r="E267" s="325" t="s">
        <v>747</v>
      </c>
      <c r="F267" s="325">
        <v>0.16</v>
      </c>
      <c r="G267" s="324">
        <v>0.08</v>
      </c>
    </row>
    <row r="268" spans="1:7" x14ac:dyDescent="0.3">
      <c r="A268" s="326" t="s">
        <v>1534</v>
      </c>
      <c r="B268" s="325">
        <v>15224</v>
      </c>
      <c r="C268" s="325">
        <v>0.2</v>
      </c>
      <c r="D268" s="325">
        <v>0.2</v>
      </c>
      <c r="E268" s="325" t="s">
        <v>719</v>
      </c>
      <c r="F268" s="325">
        <v>0.11</v>
      </c>
      <c r="G268" s="324">
        <v>0.05</v>
      </c>
    </row>
    <row r="269" spans="1:7" x14ac:dyDescent="0.3">
      <c r="A269" s="326" t="s">
        <v>1533</v>
      </c>
      <c r="B269" s="325">
        <v>25224</v>
      </c>
      <c r="C269" s="325">
        <v>0.15</v>
      </c>
      <c r="D269" s="325">
        <v>0.2</v>
      </c>
      <c r="E269" s="325" t="s">
        <v>719</v>
      </c>
      <c r="F269" s="325">
        <v>0.09</v>
      </c>
      <c r="G269" s="324">
        <v>0.05</v>
      </c>
    </row>
    <row r="270" spans="1:7" x14ac:dyDescent="0.3">
      <c r="A270" s="326" t="s">
        <v>1532</v>
      </c>
      <c r="B270" s="325">
        <v>54001</v>
      </c>
      <c r="C270" s="325">
        <v>0.35</v>
      </c>
      <c r="D270" s="325">
        <v>0.3</v>
      </c>
      <c r="E270" s="325" t="s">
        <v>747</v>
      </c>
      <c r="F270" s="325">
        <v>0.25</v>
      </c>
      <c r="G270" s="324">
        <v>0.1</v>
      </c>
    </row>
    <row r="271" spans="1:7" x14ac:dyDescent="0.3">
      <c r="A271" s="326" t="s">
        <v>1531</v>
      </c>
      <c r="B271" s="325">
        <v>54223</v>
      </c>
      <c r="C271" s="325">
        <v>0.3</v>
      </c>
      <c r="D271" s="325">
        <v>0.25</v>
      </c>
      <c r="E271" s="325" t="s">
        <v>747</v>
      </c>
      <c r="F271" s="325">
        <v>0.08</v>
      </c>
      <c r="G271" s="324">
        <v>0.04</v>
      </c>
    </row>
    <row r="272" spans="1:7" x14ac:dyDescent="0.3">
      <c r="A272" s="326" t="s">
        <v>1530</v>
      </c>
      <c r="B272" s="325">
        <v>15226</v>
      </c>
      <c r="C272" s="325">
        <v>0.25</v>
      </c>
      <c r="D272" s="325">
        <v>0.25</v>
      </c>
      <c r="E272" s="325" t="s">
        <v>747</v>
      </c>
      <c r="F272" s="325">
        <v>0.16</v>
      </c>
      <c r="G272" s="324">
        <v>0.08</v>
      </c>
    </row>
    <row r="273" spans="1:7" x14ac:dyDescent="0.3">
      <c r="A273" s="326" t="s">
        <v>1529</v>
      </c>
      <c r="B273" s="325">
        <v>50226</v>
      </c>
      <c r="C273" s="325">
        <v>0.25</v>
      </c>
      <c r="D273" s="325">
        <v>0.25</v>
      </c>
      <c r="E273" s="325" t="s">
        <v>747</v>
      </c>
      <c r="F273" s="325">
        <v>0.09</v>
      </c>
      <c r="G273" s="324">
        <v>0.04</v>
      </c>
    </row>
    <row r="274" spans="1:7" x14ac:dyDescent="0.3">
      <c r="A274" s="326" t="s">
        <v>1528</v>
      </c>
      <c r="B274" s="325">
        <v>99773</v>
      </c>
      <c r="C274" s="325">
        <v>0.05</v>
      </c>
      <c r="D274" s="325">
        <v>0.05</v>
      </c>
      <c r="E274" s="325" t="s">
        <v>743</v>
      </c>
      <c r="F274" s="325">
        <v>0.04</v>
      </c>
      <c r="G274" s="324">
        <v>0.02</v>
      </c>
    </row>
    <row r="275" spans="1:7" x14ac:dyDescent="0.3">
      <c r="A275" s="326" t="s">
        <v>1527</v>
      </c>
      <c r="B275" s="325">
        <v>52227</v>
      </c>
      <c r="C275" s="325">
        <v>0.3</v>
      </c>
      <c r="D275" s="325">
        <v>0.25</v>
      </c>
      <c r="E275" s="325" t="s">
        <v>747</v>
      </c>
      <c r="F275" s="325">
        <v>0.16</v>
      </c>
      <c r="G275" s="324">
        <v>0.08</v>
      </c>
    </row>
    <row r="276" spans="1:7" x14ac:dyDescent="0.3">
      <c r="A276" s="326" t="s">
        <v>1526</v>
      </c>
      <c r="B276" s="325">
        <v>52233</v>
      </c>
      <c r="C276" s="325">
        <v>0.3</v>
      </c>
      <c r="D276" s="325">
        <v>0.3</v>
      </c>
      <c r="E276" s="325" t="s">
        <v>747</v>
      </c>
      <c r="F276" s="325">
        <v>0.1</v>
      </c>
      <c r="G276" s="324">
        <v>7.0000000000000007E-2</v>
      </c>
    </row>
    <row r="277" spans="1:7" x14ac:dyDescent="0.3">
      <c r="A277" s="326" t="s">
        <v>1525</v>
      </c>
      <c r="B277" s="325">
        <v>73226</v>
      </c>
      <c r="C277" s="325">
        <v>0.25</v>
      </c>
      <c r="D277" s="325">
        <v>0.2</v>
      </c>
      <c r="E277" s="325" t="s">
        <v>747</v>
      </c>
      <c r="F277" s="325">
        <v>0.09</v>
      </c>
      <c r="G277" s="324">
        <v>0.05</v>
      </c>
    </row>
    <row r="278" spans="1:7" x14ac:dyDescent="0.3">
      <c r="A278" s="326" t="s">
        <v>1524</v>
      </c>
      <c r="B278" s="325">
        <v>68229</v>
      </c>
      <c r="C278" s="325">
        <v>0.2</v>
      </c>
      <c r="D278" s="325">
        <v>0.25</v>
      </c>
      <c r="E278" s="325" t="s">
        <v>747</v>
      </c>
      <c r="F278" s="325">
        <v>0.1</v>
      </c>
      <c r="G278" s="324">
        <v>0.06</v>
      </c>
    </row>
    <row r="279" spans="1:7" x14ac:dyDescent="0.3">
      <c r="A279" s="326" t="s">
        <v>1523</v>
      </c>
      <c r="B279" s="325">
        <v>18205</v>
      </c>
      <c r="C279" s="325">
        <v>0.15</v>
      </c>
      <c r="D279" s="325">
        <v>0.2</v>
      </c>
      <c r="E279" s="325" t="s">
        <v>719</v>
      </c>
      <c r="F279" s="325">
        <v>0.06</v>
      </c>
      <c r="G279" s="324">
        <v>0.03</v>
      </c>
    </row>
    <row r="280" spans="1:7" x14ac:dyDescent="0.3">
      <c r="A280" s="326" t="s">
        <v>1522</v>
      </c>
      <c r="B280" s="325">
        <v>20228</v>
      </c>
      <c r="C280" s="325">
        <v>0.15</v>
      </c>
      <c r="D280" s="325">
        <v>0.1</v>
      </c>
      <c r="E280" s="325" t="s">
        <v>719</v>
      </c>
      <c r="F280" s="325">
        <v>0.08</v>
      </c>
      <c r="G280" s="324">
        <v>0.04</v>
      </c>
    </row>
    <row r="281" spans="1:7" x14ac:dyDescent="0.3">
      <c r="A281" s="326" t="s">
        <v>1521</v>
      </c>
      <c r="B281" s="325">
        <v>5234</v>
      </c>
      <c r="C281" s="325">
        <v>0.25</v>
      </c>
      <c r="D281" s="325">
        <v>0.3</v>
      </c>
      <c r="E281" s="325" t="s">
        <v>747</v>
      </c>
      <c r="F281" s="325">
        <v>0.13</v>
      </c>
      <c r="G281" s="324">
        <v>0.08</v>
      </c>
    </row>
    <row r="282" spans="1:7" x14ac:dyDescent="0.3">
      <c r="A282" s="326" t="s">
        <v>1520</v>
      </c>
      <c r="B282" s="325">
        <v>76233</v>
      </c>
      <c r="C282" s="325">
        <v>0.25</v>
      </c>
      <c r="D282" s="325">
        <v>0.25</v>
      </c>
      <c r="E282" s="325" t="s">
        <v>747</v>
      </c>
      <c r="F282" s="325">
        <v>0.09</v>
      </c>
      <c r="G282" s="324">
        <v>0.06</v>
      </c>
    </row>
    <row r="283" spans="1:7" x14ac:dyDescent="0.3">
      <c r="A283" s="326" t="s">
        <v>1519</v>
      </c>
      <c r="B283" s="325">
        <v>44090</v>
      </c>
      <c r="C283" s="325">
        <v>0.15</v>
      </c>
      <c r="D283" s="325">
        <v>0.1</v>
      </c>
      <c r="E283" s="325" t="s">
        <v>719</v>
      </c>
      <c r="F283" s="325">
        <v>0.08</v>
      </c>
      <c r="G283" s="324">
        <v>0.04</v>
      </c>
    </row>
    <row r="284" spans="1:7" x14ac:dyDescent="0.3">
      <c r="A284" s="326" t="s">
        <v>1518</v>
      </c>
      <c r="B284" s="325">
        <v>44098</v>
      </c>
      <c r="C284" s="325">
        <v>0.15</v>
      </c>
      <c r="D284" s="325">
        <v>0.1</v>
      </c>
      <c r="E284" s="325" t="s">
        <v>719</v>
      </c>
      <c r="F284" s="325">
        <v>0.08</v>
      </c>
      <c r="G284" s="324">
        <v>0.04</v>
      </c>
    </row>
    <row r="285" spans="1:7" x14ac:dyDescent="0.3">
      <c r="A285" s="326" t="s">
        <v>1517</v>
      </c>
      <c r="B285" s="325">
        <v>73236</v>
      </c>
      <c r="C285" s="325">
        <v>0.25</v>
      </c>
      <c r="D285" s="325">
        <v>0.25</v>
      </c>
      <c r="E285" s="325" t="s">
        <v>747</v>
      </c>
      <c r="F285" s="325">
        <v>0.12</v>
      </c>
      <c r="G285" s="324">
        <v>0.06</v>
      </c>
    </row>
    <row r="286" spans="1:7" x14ac:dyDescent="0.3">
      <c r="A286" s="326" t="s">
        <v>1516</v>
      </c>
      <c r="B286" s="325">
        <v>5237</v>
      </c>
      <c r="C286" s="325">
        <v>0.15</v>
      </c>
      <c r="D286" s="325">
        <v>0.2</v>
      </c>
      <c r="E286" s="325" t="s">
        <v>719</v>
      </c>
      <c r="F286" s="325">
        <v>0.1</v>
      </c>
      <c r="G286" s="324">
        <v>0.05</v>
      </c>
    </row>
    <row r="287" spans="1:7" x14ac:dyDescent="0.3">
      <c r="A287" s="326" t="s">
        <v>1515</v>
      </c>
      <c r="B287" s="325">
        <v>66170</v>
      </c>
      <c r="C287" s="325">
        <v>0.25</v>
      </c>
      <c r="D287" s="325">
        <v>0.25</v>
      </c>
      <c r="E287" s="325" t="s">
        <v>747</v>
      </c>
      <c r="F287" s="325">
        <v>0.2</v>
      </c>
      <c r="G287" s="324">
        <v>0.1</v>
      </c>
    </row>
    <row r="288" spans="1:7" x14ac:dyDescent="0.3">
      <c r="A288" s="326" t="s">
        <v>1514</v>
      </c>
      <c r="B288" s="325">
        <v>15238</v>
      </c>
      <c r="C288" s="325">
        <v>0.2</v>
      </c>
      <c r="D288" s="325">
        <v>0.25</v>
      </c>
      <c r="E288" s="325" t="s">
        <v>747</v>
      </c>
      <c r="F288" s="325">
        <v>0.14000000000000001</v>
      </c>
      <c r="G288" s="324">
        <v>7.0000000000000007E-2</v>
      </c>
    </row>
    <row r="289" spans="1:7" x14ac:dyDescent="0.3">
      <c r="A289" s="326" t="s">
        <v>1513</v>
      </c>
      <c r="B289" s="325">
        <v>54239</v>
      </c>
      <c r="C289" s="325">
        <v>0.35</v>
      </c>
      <c r="D289" s="325">
        <v>0.25</v>
      </c>
      <c r="E289" s="325" t="s">
        <v>747</v>
      </c>
      <c r="F289" s="325">
        <v>0.14000000000000001</v>
      </c>
      <c r="G289" s="324">
        <v>0.06</v>
      </c>
    </row>
    <row r="290" spans="1:7" x14ac:dyDescent="0.3">
      <c r="A290" s="326" t="s">
        <v>1512</v>
      </c>
      <c r="B290" s="325">
        <v>5240</v>
      </c>
      <c r="C290" s="325">
        <v>0.15</v>
      </c>
      <c r="D290" s="325">
        <v>0.25</v>
      </c>
      <c r="E290" s="325" t="s">
        <v>747</v>
      </c>
      <c r="F290" s="325">
        <v>0.15</v>
      </c>
      <c r="G290" s="324">
        <v>0.08</v>
      </c>
    </row>
    <row r="291" spans="1:7" x14ac:dyDescent="0.3">
      <c r="A291" s="326" t="s">
        <v>1511</v>
      </c>
      <c r="B291" s="325">
        <v>76243</v>
      </c>
      <c r="C291" s="325">
        <v>0.3</v>
      </c>
      <c r="D291" s="325">
        <v>0.3</v>
      </c>
      <c r="E291" s="325" t="s">
        <v>747</v>
      </c>
      <c r="F291" s="325">
        <v>0.16</v>
      </c>
      <c r="G291" s="324">
        <v>0.1</v>
      </c>
    </row>
    <row r="292" spans="1:7" x14ac:dyDescent="0.3">
      <c r="A292" s="326" t="s">
        <v>1510</v>
      </c>
      <c r="B292" s="325">
        <v>5250</v>
      </c>
      <c r="C292" s="325">
        <v>0.15</v>
      </c>
      <c r="D292" s="325">
        <v>0.15</v>
      </c>
      <c r="E292" s="325" t="s">
        <v>719</v>
      </c>
      <c r="F292" s="325">
        <v>7.0000000000000007E-2</v>
      </c>
      <c r="G292" s="324">
        <v>0.04</v>
      </c>
    </row>
    <row r="293" spans="1:7" x14ac:dyDescent="0.3">
      <c r="A293" s="326" t="s">
        <v>1509</v>
      </c>
      <c r="B293" s="325">
        <v>47245</v>
      </c>
      <c r="C293" s="325">
        <v>0.1</v>
      </c>
      <c r="D293" s="325">
        <v>0.1</v>
      </c>
      <c r="E293" s="325" t="s">
        <v>743</v>
      </c>
      <c r="F293" s="325">
        <v>0.04</v>
      </c>
      <c r="G293" s="324">
        <v>0.02</v>
      </c>
    </row>
    <row r="294" spans="1:7" x14ac:dyDescent="0.3">
      <c r="A294" s="326" t="s">
        <v>1508</v>
      </c>
      <c r="B294" s="325">
        <v>76246</v>
      </c>
      <c r="C294" s="325">
        <v>0.3</v>
      </c>
      <c r="D294" s="325">
        <v>0.3</v>
      </c>
      <c r="E294" s="325" t="s">
        <v>747</v>
      </c>
      <c r="F294" s="325">
        <v>0.16</v>
      </c>
      <c r="G294" s="324">
        <v>0.1</v>
      </c>
    </row>
    <row r="295" spans="1:7" x14ac:dyDescent="0.3">
      <c r="A295" s="326" t="s">
        <v>1507</v>
      </c>
      <c r="B295" s="325">
        <v>50245</v>
      </c>
      <c r="C295" s="325">
        <v>0.3</v>
      </c>
      <c r="D295" s="325">
        <v>0.25</v>
      </c>
      <c r="E295" s="325" t="s">
        <v>747</v>
      </c>
      <c r="F295" s="325">
        <v>0.26</v>
      </c>
      <c r="G295" s="324">
        <v>0.08</v>
      </c>
    </row>
    <row r="296" spans="1:7" x14ac:dyDescent="0.3">
      <c r="A296" s="326" t="s">
        <v>1506</v>
      </c>
      <c r="B296" s="325">
        <v>54245</v>
      </c>
      <c r="C296" s="325">
        <v>0.15</v>
      </c>
      <c r="D296" s="325">
        <v>0.1</v>
      </c>
      <c r="E296" s="325" t="s">
        <v>719</v>
      </c>
      <c r="F296" s="325">
        <v>0.04</v>
      </c>
      <c r="G296" s="324">
        <v>0.02</v>
      </c>
    </row>
    <row r="297" spans="1:7" x14ac:dyDescent="0.3">
      <c r="A297" s="326" t="s">
        <v>1505</v>
      </c>
      <c r="B297" s="325">
        <v>27245</v>
      </c>
      <c r="C297" s="325">
        <v>0.3</v>
      </c>
      <c r="D297" s="325">
        <v>0.3</v>
      </c>
      <c r="E297" s="325" t="s">
        <v>747</v>
      </c>
      <c r="F297" s="325">
        <v>0.24</v>
      </c>
      <c r="G297" s="324">
        <v>0.1</v>
      </c>
    </row>
    <row r="298" spans="1:7" x14ac:dyDescent="0.3">
      <c r="A298" s="326" t="s">
        <v>1504</v>
      </c>
      <c r="B298" s="325">
        <v>13244</v>
      </c>
      <c r="C298" s="325">
        <v>0.1</v>
      </c>
      <c r="D298" s="325">
        <v>0.15</v>
      </c>
      <c r="E298" s="325" t="s">
        <v>719</v>
      </c>
      <c r="F298" s="325">
        <v>0.08</v>
      </c>
      <c r="G298" s="324">
        <v>0.04</v>
      </c>
    </row>
    <row r="299" spans="1:7" x14ac:dyDescent="0.3">
      <c r="A299" s="326" t="s">
        <v>1503</v>
      </c>
      <c r="B299" s="325">
        <v>68235</v>
      </c>
      <c r="C299" s="325">
        <v>0.15</v>
      </c>
      <c r="D299" s="325">
        <v>0.15</v>
      </c>
      <c r="E299" s="325" t="s">
        <v>719</v>
      </c>
      <c r="F299" s="325">
        <v>0.17</v>
      </c>
      <c r="G299" s="324">
        <v>0.08</v>
      </c>
    </row>
    <row r="300" spans="1:7" x14ac:dyDescent="0.3">
      <c r="A300" s="326" t="s">
        <v>1502</v>
      </c>
      <c r="B300" s="325">
        <v>50251</v>
      </c>
      <c r="C300" s="325">
        <v>0.25</v>
      </c>
      <c r="D300" s="325">
        <v>0.25</v>
      </c>
      <c r="E300" s="325" t="s">
        <v>747</v>
      </c>
      <c r="F300" s="325">
        <v>0.11</v>
      </c>
      <c r="G300" s="324">
        <v>0.04</v>
      </c>
    </row>
    <row r="301" spans="1:7" x14ac:dyDescent="0.3">
      <c r="A301" s="326" t="s">
        <v>1501</v>
      </c>
      <c r="B301" s="325">
        <v>76248</v>
      </c>
      <c r="C301" s="325">
        <v>0.25</v>
      </c>
      <c r="D301" s="325">
        <v>0.2</v>
      </c>
      <c r="E301" s="325" t="s">
        <v>747</v>
      </c>
      <c r="F301" s="325">
        <v>0.11</v>
      </c>
      <c r="G301" s="324">
        <v>7.0000000000000007E-2</v>
      </c>
    </row>
    <row r="302" spans="1:7" x14ac:dyDescent="0.3">
      <c r="A302" s="326" t="s">
        <v>1500</v>
      </c>
      <c r="B302" s="325">
        <v>52250</v>
      </c>
      <c r="C302" s="325">
        <v>0.4</v>
      </c>
      <c r="D302" s="325">
        <v>0.35</v>
      </c>
      <c r="E302" s="325" t="s">
        <v>747</v>
      </c>
      <c r="F302" s="325">
        <v>0.13</v>
      </c>
      <c r="G302" s="324">
        <v>0.08</v>
      </c>
    </row>
    <row r="303" spans="1:7" x14ac:dyDescent="0.3">
      <c r="A303" s="326" t="s">
        <v>1499</v>
      </c>
      <c r="B303" s="325">
        <v>15244</v>
      </c>
      <c r="C303" s="325">
        <v>0.25</v>
      </c>
      <c r="D303" s="325">
        <v>0.3</v>
      </c>
      <c r="E303" s="325" t="s">
        <v>747</v>
      </c>
      <c r="F303" s="325">
        <v>0.22</v>
      </c>
      <c r="G303" s="324">
        <v>0.08</v>
      </c>
    </row>
    <row r="304" spans="1:7" x14ac:dyDescent="0.3">
      <c r="A304" s="326" t="s">
        <v>1498</v>
      </c>
      <c r="B304" s="325">
        <v>25245</v>
      </c>
      <c r="C304" s="325">
        <v>0.15</v>
      </c>
      <c r="D304" s="325">
        <v>0.2</v>
      </c>
      <c r="E304" s="325" t="s">
        <v>719</v>
      </c>
      <c r="F304" s="325">
        <v>0.11</v>
      </c>
      <c r="G304" s="324">
        <v>0.06</v>
      </c>
    </row>
    <row r="305" spans="1:7" x14ac:dyDescent="0.3">
      <c r="A305" s="326" t="s">
        <v>1497</v>
      </c>
      <c r="B305" s="325">
        <v>20238</v>
      </c>
      <c r="C305" s="325">
        <v>0.1</v>
      </c>
      <c r="D305" s="325">
        <v>0.1</v>
      </c>
      <c r="E305" s="325" t="s">
        <v>743</v>
      </c>
      <c r="F305" s="325">
        <v>0.08</v>
      </c>
      <c r="G305" s="324">
        <v>0.04</v>
      </c>
    </row>
    <row r="306" spans="1:7" x14ac:dyDescent="0.3">
      <c r="A306" s="326" t="s">
        <v>1496</v>
      </c>
      <c r="B306" s="325">
        <v>18247</v>
      </c>
      <c r="C306" s="325">
        <v>0.15</v>
      </c>
      <c r="D306" s="325">
        <v>0.15</v>
      </c>
      <c r="E306" s="325" t="s">
        <v>719</v>
      </c>
      <c r="F306" s="325">
        <v>0.06</v>
      </c>
      <c r="G306" s="324">
        <v>0.03</v>
      </c>
    </row>
    <row r="307" spans="1:7" x14ac:dyDescent="0.3">
      <c r="A307" s="326" t="s">
        <v>1495</v>
      </c>
      <c r="B307" s="325">
        <v>50270</v>
      </c>
      <c r="C307" s="325">
        <v>0.25</v>
      </c>
      <c r="D307" s="325">
        <v>0.25</v>
      </c>
      <c r="E307" s="325" t="s">
        <v>747</v>
      </c>
      <c r="F307" s="325">
        <v>0.11</v>
      </c>
      <c r="G307" s="324">
        <v>0.05</v>
      </c>
    </row>
    <row r="308" spans="1:7" x14ac:dyDescent="0.3">
      <c r="A308" s="326" t="s">
        <v>1494</v>
      </c>
      <c r="B308" s="325">
        <v>76250</v>
      </c>
      <c r="C308" s="325">
        <v>0.3</v>
      </c>
      <c r="D308" s="325">
        <v>0.3</v>
      </c>
      <c r="E308" s="325" t="s">
        <v>747</v>
      </c>
      <c r="F308" s="325">
        <v>0.18</v>
      </c>
      <c r="G308" s="324">
        <v>0.1</v>
      </c>
    </row>
    <row r="309" spans="1:7" x14ac:dyDescent="0.3">
      <c r="A309" s="326" t="s">
        <v>1493</v>
      </c>
      <c r="B309" s="325">
        <v>91263</v>
      </c>
      <c r="C309" s="325">
        <v>0.05</v>
      </c>
      <c r="D309" s="325">
        <v>0.05</v>
      </c>
      <c r="E309" s="325" t="s">
        <v>743</v>
      </c>
      <c r="F309" s="325">
        <v>0.04</v>
      </c>
      <c r="G309" s="324">
        <v>0.02</v>
      </c>
    </row>
    <row r="310" spans="1:7" x14ac:dyDescent="0.3">
      <c r="A310" s="326" t="s">
        <v>1492</v>
      </c>
      <c r="B310" s="325">
        <v>15248</v>
      </c>
      <c r="C310" s="325">
        <v>0.25</v>
      </c>
      <c r="D310" s="325">
        <v>0.3</v>
      </c>
      <c r="E310" s="325" t="s">
        <v>747</v>
      </c>
      <c r="F310" s="325">
        <v>0.16</v>
      </c>
      <c r="G310" s="324">
        <v>0.08</v>
      </c>
    </row>
    <row r="311" spans="1:7" x14ac:dyDescent="0.3">
      <c r="A311" s="326" t="s">
        <v>1491</v>
      </c>
      <c r="B311" s="325">
        <v>68271</v>
      </c>
      <c r="C311" s="325">
        <v>0.15</v>
      </c>
      <c r="D311" s="325">
        <v>0.15</v>
      </c>
      <c r="E311" s="325" t="s">
        <v>719</v>
      </c>
      <c r="F311" s="325">
        <v>0.12</v>
      </c>
      <c r="G311" s="324">
        <v>7.0000000000000007E-2</v>
      </c>
    </row>
    <row r="312" spans="1:7" x14ac:dyDescent="0.3">
      <c r="A312" s="326" t="s">
        <v>1490</v>
      </c>
      <c r="B312" s="325">
        <v>68245</v>
      </c>
      <c r="C312" s="325">
        <v>0.15</v>
      </c>
      <c r="D312" s="325">
        <v>0.2</v>
      </c>
      <c r="E312" s="325" t="s">
        <v>719</v>
      </c>
      <c r="F312" s="325">
        <v>0.18</v>
      </c>
      <c r="G312" s="324">
        <v>0.1</v>
      </c>
    </row>
    <row r="313" spans="1:7" x14ac:dyDescent="0.3">
      <c r="A313" s="326" t="s">
        <v>1489</v>
      </c>
      <c r="B313" s="325">
        <v>13248</v>
      </c>
      <c r="C313" s="325">
        <v>0.1</v>
      </c>
      <c r="D313" s="325">
        <v>0.1</v>
      </c>
      <c r="E313" s="325" t="s">
        <v>743</v>
      </c>
      <c r="F313" s="325">
        <v>0.08</v>
      </c>
      <c r="G313" s="324">
        <v>0.04</v>
      </c>
    </row>
    <row r="314" spans="1:7" x14ac:dyDescent="0.3">
      <c r="A314" s="326" t="s">
        <v>1488</v>
      </c>
      <c r="B314" s="325">
        <v>27250</v>
      </c>
      <c r="C314" s="325">
        <v>0.4</v>
      </c>
      <c r="D314" s="325">
        <v>0.4</v>
      </c>
      <c r="E314" s="325" t="s">
        <v>747</v>
      </c>
      <c r="F314" s="325">
        <v>0.2</v>
      </c>
      <c r="G314" s="324">
        <v>0.1</v>
      </c>
    </row>
    <row r="315" spans="1:7" x14ac:dyDescent="0.3">
      <c r="A315" s="326" t="s">
        <v>1487</v>
      </c>
      <c r="B315" s="325">
        <v>44110</v>
      </c>
      <c r="C315" s="325">
        <v>0.1</v>
      </c>
      <c r="D315" s="325">
        <v>0.1</v>
      </c>
      <c r="E315" s="325" t="s">
        <v>743</v>
      </c>
      <c r="F315" s="325">
        <v>0.06</v>
      </c>
      <c r="G315" s="324">
        <v>0.04</v>
      </c>
    </row>
    <row r="316" spans="1:7" x14ac:dyDescent="0.3">
      <c r="A316" s="326" t="s">
        <v>1486</v>
      </c>
      <c r="B316" s="325">
        <v>20250</v>
      </c>
      <c r="C316" s="325">
        <v>0.1</v>
      </c>
      <c r="D316" s="325">
        <v>0.1</v>
      </c>
      <c r="E316" s="325" t="s">
        <v>743</v>
      </c>
      <c r="F316" s="325">
        <v>0.08</v>
      </c>
      <c r="G316" s="324">
        <v>0.04</v>
      </c>
    </row>
    <row r="317" spans="1:7" x14ac:dyDescent="0.3">
      <c r="A317" s="326" t="s">
        <v>1485</v>
      </c>
      <c r="B317" s="325">
        <v>18256</v>
      </c>
      <c r="C317" s="325">
        <v>0.15</v>
      </c>
      <c r="D317" s="325">
        <v>0.15</v>
      </c>
      <c r="E317" s="325" t="s">
        <v>719</v>
      </c>
      <c r="F317" s="325">
        <v>0.06</v>
      </c>
      <c r="G317" s="324">
        <v>0.03</v>
      </c>
    </row>
    <row r="318" spans="1:7" x14ac:dyDescent="0.3">
      <c r="A318" s="326" t="s">
        <v>1484</v>
      </c>
      <c r="B318" s="325">
        <v>52254</v>
      </c>
      <c r="C318" s="325">
        <v>0.25</v>
      </c>
      <c r="D318" s="325">
        <v>0.25</v>
      </c>
      <c r="E318" s="325" t="s">
        <v>747</v>
      </c>
      <c r="F318" s="325">
        <v>0.16</v>
      </c>
      <c r="G318" s="324">
        <v>0.08</v>
      </c>
    </row>
    <row r="319" spans="1:7" x14ac:dyDescent="0.3">
      <c r="A319" s="326" t="s">
        <v>1483</v>
      </c>
      <c r="B319" s="325">
        <v>13268</v>
      </c>
      <c r="C319" s="325">
        <v>0.15</v>
      </c>
      <c r="D319" s="325">
        <v>0.15</v>
      </c>
      <c r="E319" s="325" t="s">
        <v>719</v>
      </c>
      <c r="F319" s="325">
        <v>7.0000000000000007E-2</v>
      </c>
      <c r="G319" s="324">
        <v>0.04</v>
      </c>
    </row>
    <row r="320" spans="1:7" x14ac:dyDescent="0.3">
      <c r="A320" s="326" t="s">
        <v>1483</v>
      </c>
      <c r="B320" s="325">
        <v>25258</v>
      </c>
      <c r="C320" s="325">
        <v>0.15</v>
      </c>
      <c r="D320" s="325">
        <v>0.2</v>
      </c>
      <c r="E320" s="325" t="s">
        <v>719</v>
      </c>
      <c r="F320" s="325">
        <v>0.13</v>
      </c>
      <c r="G320" s="324">
        <v>0.06</v>
      </c>
    </row>
    <row r="321" spans="1:7" x14ac:dyDescent="0.3">
      <c r="A321" s="326" t="s">
        <v>1483</v>
      </c>
      <c r="B321" s="325">
        <v>68250</v>
      </c>
      <c r="C321" s="325">
        <v>0.15</v>
      </c>
      <c r="D321" s="325">
        <v>0.15</v>
      </c>
      <c r="E321" s="325" t="s">
        <v>719</v>
      </c>
      <c r="F321" s="325">
        <v>0.16</v>
      </c>
      <c r="G321" s="324">
        <v>7.0000000000000007E-2</v>
      </c>
    </row>
    <row r="322" spans="1:7" x14ac:dyDescent="0.3">
      <c r="A322" s="326" t="s">
        <v>1482</v>
      </c>
      <c r="B322" s="325">
        <v>47258</v>
      </c>
      <c r="C322" s="325">
        <v>0.1</v>
      </c>
      <c r="D322" s="325">
        <v>0.1</v>
      </c>
      <c r="E322" s="325" t="s">
        <v>743</v>
      </c>
      <c r="F322" s="325">
        <v>0.04</v>
      </c>
      <c r="G322" s="324">
        <v>0.02</v>
      </c>
    </row>
    <row r="323" spans="1:7" x14ac:dyDescent="0.3">
      <c r="A323" s="326" t="s">
        <v>1481</v>
      </c>
      <c r="B323" s="325">
        <v>68255</v>
      </c>
      <c r="C323" s="325">
        <v>0.25</v>
      </c>
      <c r="D323" s="325">
        <v>0.25</v>
      </c>
      <c r="E323" s="325" t="s">
        <v>747</v>
      </c>
      <c r="F323" s="325">
        <v>0.14000000000000001</v>
      </c>
      <c r="G323" s="324">
        <v>7.0000000000000007E-2</v>
      </c>
    </row>
    <row r="324" spans="1:7" x14ac:dyDescent="0.3">
      <c r="A324" s="326" t="s">
        <v>1480</v>
      </c>
      <c r="B324" s="325">
        <v>47268</v>
      </c>
      <c r="C324" s="325">
        <v>0.1</v>
      </c>
      <c r="D324" s="325">
        <v>0.1</v>
      </c>
      <c r="E324" s="325" t="s">
        <v>743</v>
      </c>
      <c r="F324" s="325">
        <v>0.04</v>
      </c>
      <c r="G324" s="324">
        <v>0.02</v>
      </c>
    </row>
    <row r="325" spans="1:7" x14ac:dyDescent="0.3">
      <c r="A325" s="326" t="s">
        <v>1479</v>
      </c>
      <c r="B325" s="325">
        <v>95025</v>
      </c>
      <c r="C325" s="325">
        <v>0.05</v>
      </c>
      <c r="D325" s="325">
        <v>0.05</v>
      </c>
      <c r="E325" s="325" t="s">
        <v>743</v>
      </c>
      <c r="F325" s="325">
        <v>0.04</v>
      </c>
      <c r="G325" s="324">
        <v>0.02</v>
      </c>
    </row>
    <row r="326" spans="1:7" x14ac:dyDescent="0.3">
      <c r="A326" s="326" t="s">
        <v>1478</v>
      </c>
      <c r="B326" s="325">
        <v>70233</v>
      </c>
      <c r="C326" s="325">
        <v>0.1</v>
      </c>
      <c r="D326" s="325">
        <v>0.15</v>
      </c>
      <c r="E326" s="325" t="s">
        <v>719</v>
      </c>
      <c r="F326" s="325">
        <v>0.04</v>
      </c>
      <c r="G326" s="324">
        <v>0.03</v>
      </c>
    </row>
    <row r="327" spans="1:7" x14ac:dyDescent="0.3">
      <c r="A327" s="326" t="s">
        <v>1477</v>
      </c>
      <c r="B327" s="325">
        <v>25260</v>
      </c>
      <c r="C327" s="325">
        <v>0.15</v>
      </c>
      <c r="D327" s="325">
        <v>0.2</v>
      </c>
      <c r="E327" s="325" t="s">
        <v>719</v>
      </c>
      <c r="F327" s="325">
        <v>0.1</v>
      </c>
      <c r="G327" s="324">
        <v>0.06</v>
      </c>
    </row>
    <row r="328" spans="1:7" x14ac:dyDescent="0.3">
      <c r="A328" s="326" t="s">
        <v>1476</v>
      </c>
      <c r="B328" s="325">
        <v>52256</v>
      </c>
      <c r="C328" s="325">
        <v>0.3</v>
      </c>
      <c r="D328" s="325">
        <v>0.3</v>
      </c>
      <c r="E328" s="325" t="s">
        <v>747</v>
      </c>
      <c r="F328" s="325">
        <v>0.11</v>
      </c>
      <c r="G328" s="324">
        <v>7.0000000000000007E-2</v>
      </c>
    </row>
    <row r="329" spans="1:7" x14ac:dyDescent="0.3">
      <c r="A329" s="326" t="s">
        <v>1475</v>
      </c>
      <c r="B329" s="325">
        <v>52258</v>
      </c>
      <c r="C329" s="325">
        <v>0.25</v>
      </c>
      <c r="D329" s="325">
        <v>0.25</v>
      </c>
      <c r="E329" s="325" t="s">
        <v>747</v>
      </c>
      <c r="F329" s="325">
        <v>0.16</v>
      </c>
      <c r="G329" s="324">
        <v>0.08</v>
      </c>
    </row>
    <row r="330" spans="1:7" x14ac:dyDescent="0.3">
      <c r="A330" s="326" t="s">
        <v>1474</v>
      </c>
      <c r="B330" s="325">
        <v>19256</v>
      </c>
      <c r="C330" s="325">
        <v>0.3</v>
      </c>
      <c r="D330" s="325">
        <v>0.25</v>
      </c>
      <c r="E330" s="325" t="s">
        <v>747</v>
      </c>
      <c r="F330" s="325">
        <v>0.14000000000000001</v>
      </c>
      <c r="G330" s="324">
        <v>0.08</v>
      </c>
    </row>
    <row r="331" spans="1:7" x14ac:dyDescent="0.3">
      <c r="A331" s="326" t="s">
        <v>1474</v>
      </c>
      <c r="B331" s="325">
        <v>52260</v>
      </c>
      <c r="C331" s="325">
        <v>0.25</v>
      </c>
      <c r="D331" s="325">
        <v>0.25</v>
      </c>
      <c r="E331" s="325" t="s">
        <v>747</v>
      </c>
      <c r="F331" s="325">
        <v>0.13</v>
      </c>
      <c r="G331" s="324">
        <v>0.08</v>
      </c>
    </row>
    <row r="332" spans="1:7" x14ac:dyDescent="0.3">
      <c r="A332" s="326" t="s">
        <v>1473</v>
      </c>
      <c r="B332" s="325">
        <v>54250</v>
      </c>
      <c r="C332" s="325">
        <v>0.2</v>
      </c>
      <c r="D332" s="325">
        <v>0.15</v>
      </c>
      <c r="E332" s="325" t="s">
        <v>719</v>
      </c>
      <c r="F332" s="325">
        <v>0.05</v>
      </c>
      <c r="G332" s="324">
        <v>0.03</v>
      </c>
    </row>
    <row r="333" spans="1:7" x14ac:dyDescent="0.3">
      <c r="A333" s="326" t="s">
        <v>1472</v>
      </c>
      <c r="B333" s="325">
        <v>54261</v>
      </c>
      <c r="C333" s="325">
        <v>0.35</v>
      </c>
      <c r="D333" s="325">
        <v>0.25</v>
      </c>
      <c r="E333" s="325" t="s">
        <v>747</v>
      </c>
      <c r="F333" s="325">
        <v>0.22</v>
      </c>
      <c r="G333" s="324">
        <v>0.09</v>
      </c>
    </row>
    <row r="334" spans="1:7" x14ac:dyDescent="0.3">
      <c r="A334" s="326" t="s">
        <v>1471</v>
      </c>
      <c r="B334" s="325">
        <v>41244</v>
      </c>
      <c r="C334" s="325">
        <v>0.3</v>
      </c>
      <c r="D334" s="325">
        <v>0.15</v>
      </c>
      <c r="E334" s="325" t="s">
        <v>747</v>
      </c>
      <c r="F334" s="325">
        <v>0.2</v>
      </c>
      <c r="G334" s="324">
        <v>0.08</v>
      </c>
    </row>
    <row r="335" spans="1:7" x14ac:dyDescent="0.3">
      <c r="A335" s="326" t="s">
        <v>1470</v>
      </c>
      <c r="B335" s="325">
        <v>68264</v>
      </c>
      <c r="C335" s="325">
        <v>0.2</v>
      </c>
      <c r="D335" s="325">
        <v>0.25</v>
      </c>
      <c r="E335" s="325" t="s">
        <v>747</v>
      </c>
      <c r="F335" s="325">
        <v>0.09</v>
      </c>
      <c r="G335" s="324">
        <v>0.05</v>
      </c>
    </row>
    <row r="336" spans="1:7" x14ac:dyDescent="0.3">
      <c r="A336" s="326" t="s">
        <v>1469</v>
      </c>
      <c r="B336" s="325">
        <v>68266</v>
      </c>
      <c r="C336" s="325">
        <v>0.25</v>
      </c>
      <c r="D336" s="325">
        <v>0.25</v>
      </c>
      <c r="E336" s="325" t="s">
        <v>747</v>
      </c>
      <c r="F336" s="325">
        <v>0.1</v>
      </c>
      <c r="G336" s="324">
        <v>0.05</v>
      </c>
    </row>
    <row r="337" spans="1:7" x14ac:dyDescent="0.3">
      <c r="A337" s="326" t="s">
        <v>1468</v>
      </c>
      <c r="B337" s="325">
        <v>5264</v>
      </c>
      <c r="C337" s="325">
        <v>0.15</v>
      </c>
      <c r="D337" s="325">
        <v>0.2</v>
      </c>
      <c r="E337" s="325" t="s">
        <v>719</v>
      </c>
      <c r="F337" s="325">
        <v>0.11</v>
      </c>
      <c r="G337" s="324">
        <v>0.06</v>
      </c>
    </row>
    <row r="338" spans="1:7" x14ac:dyDescent="0.3">
      <c r="A338" s="326" t="s">
        <v>1467</v>
      </c>
      <c r="B338" s="325">
        <v>5266</v>
      </c>
      <c r="C338" s="325">
        <v>0.15</v>
      </c>
      <c r="D338" s="325">
        <v>0.2</v>
      </c>
      <c r="E338" s="325" t="s">
        <v>719</v>
      </c>
      <c r="F338" s="325">
        <v>0.13</v>
      </c>
      <c r="G338" s="324">
        <v>7.0000000000000007E-2</v>
      </c>
    </row>
    <row r="339" spans="1:7" x14ac:dyDescent="0.3">
      <c r="A339" s="326" t="s">
        <v>1466</v>
      </c>
      <c r="B339" s="325">
        <v>73268</v>
      </c>
      <c r="C339" s="325">
        <v>0.25</v>
      </c>
      <c r="D339" s="325">
        <v>0.2</v>
      </c>
      <c r="E339" s="325" t="s">
        <v>747</v>
      </c>
      <c r="F339" s="325">
        <v>0.13</v>
      </c>
      <c r="G339" s="324">
        <v>0.06</v>
      </c>
    </row>
    <row r="340" spans="1:7" x14ac:dyDescent="0.3">
      <c r="A340" s="326" t="s">
        <v>1465</v>
      </c>
      <c r="B340" s="325">
        <v>25269</v>
      </c>
      <c r="C340" s="325">
        <v>0.15</v>
      </c>
      <c r="D340" s="325">
        <v>0.2</v>
      </c>
      <c r="E340" s="325" t="s">
        <v>719</v>
      </c>
      <c r="F340" s="325">
        <v>0.12</v>
      </c>
      <c r="G340" s="324">
        <v>0.06</v>
      </c>
    </row>
    <row r="341" spans="1:7" x14ac:dyDescent="0.3">
      <c r="A341" s="326" t="s">
        <v>1464</v>
      </c>
      <c r="B341" s="325">
        <v>73270</v>
      </c>
      <c r="C341" s="325">
        <v>0.2</v>
      </c>
      <c r="D341" s="325">
        <v>0.2</v>
      </c>
      <c r="E341" s="325" t="s">
        <v>719</v>
      </c>
      <c r="F341" s="325">
        <v>0.12</v>
      </c>
      <c r="G341" s="324">
        <v>7.0000000000000007E-2</v>
      </c>
    </row>
    <row r="342" spans="1:7" x14ac:dyDescent="0.3">
      <c r="A342" s="326" t="s">
        <v>1463</v>
      </c>
      <c r="B342" s="325">
        <v>17272</v>
      </c>
      <c r="C342" s="325">
        <v>0.25</v>
      </c>
      <c r="D342" s="325">
        <v>0.25</v>
      </c>
      <c r="E342" s="325" t="s">
        <v>747</v>
      </c>
      <c r="F342" s="325">
        <v>0.2</v>
      </c>
      <c r="G342" s="324">
        <v>0.1</v>
      </c>
    </row>
    <row r="343" spans="1:7" x14ac:dyDescent="0.3">
      <c r="A343" s="326" t="s">
        <v>1462</v>
      </c>
      <c r="B343" s="325">
        <v>63272</v>
      </c>
      <c r="C343" s="325">
        <v>0.25</v>
      </c>
      <c r="D343" s="325">
        <v>0.25</v>
      </c>
      <c r="E343" s="325" t="s">
        <v>747</v>
      </c>
      <c r="F343" s="325">
        <v>0.2</v>
      </c>
      <c r="G343" s="324">
        <v>0.11</v>
      </c>
    </row>
    <row r="344" spans="1:7" x14ac:dyDescent="0.3">
      <c r="A344" s="326" t="s">
        <v>1461</v>
      </c>
      <c r="B344" s="325">
        <v>15272</v>
      </c>
      <c r="C344" s="325">
        <v>0.2</v>
      </c>
      <c r="D344" s="325">
        <v>0.25</v>
      </c>
      <c r="E344" s="325" t="s">
        <v>747</v>
      </c>
      <c r="F344" s="325">
        <v>0.16</v>
      </c>
      <c r="G344" s="324">
        <v>0.08</v>
      </c>
    </row>
    <row r="345" spans="1:7" x14ac:dyDescent="0.3">
      <c r="A345" s="326" t="s">
        <v>1460</v>
      </c>
      <c r="B345" s="325">
        <v>73275</v>
      </c>
      <c r="C345" s="325">
        <v>0.2</v>
      </c>
      <c r="D345" s="325">
        <v>0.2</v>
      </c>
      <c r="E345" s="325" t="s">
        <v>719</v>
      </c>
      <c r="F345" s="325">
        <v>0.11</v>
      </c>
      <c r="G345" s="324">
        <v>0.06</v>
      </c>
    </row>
    <row r="346" spans="1:7" x14ac:dyDescent="0.3">
      <c r="A346" s="326" t="s">
        <v>1459</v>
      </c>
      <c r="B346" s="325">
        <v>19290</v>
      </c>
      <c r="C346" s="325">
        <v>0.25</v>
      </c>
      <c r="D346" s="325">
        <v>0.25</v>
      </c>
      <c r="E346" s="325" t="s">
        <v>747</v>
      </c>
      <c r="F346" s="325">
        <v>0.14000000000000001</v>
      </c>
      <c r="G346" s="324">
        <v>7.0000000000000007E-2</v>
      </c>
    </row>
    <row r="347" spans="1:7" x14ac:dyDescent="0.3">
      <c r="A347" s="326" t="s">
        <v>1459</v>
      </c>
      <c r="B347" s="325">
        <v>18001</v>
      </c>
      <c r="C347" s="325">
        <v>0.2</v>
      </c>
      <c r="D347" s="325">
        <v>0.15</v>
      </c>
      <c r="E347" s="325" t="s">
        <v>719</v>
      </c>
      <c r="F347" s="325">
        <v>0.1</v>
      </c>
      <c r="G347" s="324">
        <v>0.05</v>
      </c>
    </row>
    <row r="348" spans="1:7" x14ac:dyDescent="0.3">
      <c r="A348" s="326" t="s">
        <v>1458</v>
      </c>
      <c r="B348" s="325">
        <v>15276</v>
      </c>
      <c r="C348" s="325">
        <v>0.25</v>
      </c>
      <c r="D348" s="325">
        <v>0.25</v>
      </c>
      <c r="E348" s="325" t="s">
        <v>747</v>
      </c>
      <c r="F348" s="325">
        <v>0.16</v>
      </c>
      <c r="G348" s="324">
        <v>0.08</v>
      </c>
    </row>
    <row r="349" spans="1:7" x14ac:dyDescent="0.3">
      <c r="A349" s="326" t="s">
        <v>1457</v>
      </c>
      <c r="B349" s="325">
        <v>76275</v>
      </c>
      <c r="C349" s="325">
        <v>0.25</v>
      </c>
      <c r="D349" s="325">
        <v>0.2</v>
      </c>
      <c r="E349" s="325" t="s">
        <v>747</v>
      </c>
      <c r="F349" s="325">
        <v>0.1</v>
      </c>
      <c r="G349" s="324">
        <v>0.06</v>
      </c>
    </row>
    <row r="350" spans="1:7" x14ac:dyDescent="0.3">
      <c r="A350" s="326" t="s">
        <v>1456</v>
      </c>
      <c r="B350" s="325">
        <v>68276</v>
      </c>
      <c r="C350" s="325">
        <v>0.25</v>
      </c>
      <c r="D350" s="325">
        <v>0.25</v>
      </c>
      <c r="E350" s="325" t="s">
        <v>747</v>
      </c>
      <c r="F350" s="325">
        <v>0.13</v>
      </c>
      <c r="G350" s="324">
        <v>0.08</v>
      </c>
    </row>
    <row r="351" spans="1:7" x14ac:dyDescent="0.3">
      <c r="A351" s="326" t="s">
        <v>1455</v>
      </c>
      <c r="B351" s="325">
        <v>25279</v>
      </c>
      <c r="C351" s="325">
        <v>0.25</v>
      </c>
      <c r="D351" s="325">
        <v>0.25</v>
      </c>
      <c r="E351" s="325" t="s">
        <v>747</v>
      </c>
      <c r="F351" s="325">
        <v>0.16</v>
      </c>
      <c r="G351" s="324">
        <v>0.06</v>
      </c>
    </row>
    <row r="352" spans="1:7" x14ac:dyDescent="0.3">
      <c r="A352" s="326" t="s">
        <v>1454</v>
      </c>
      <c r="B352" s="325">
        <v>44279</v>
      </c>
      <c r="C352" s="325">
        <v>0.15</v>
      </c>
      <c r="D352" s="325">
        <v>0.1</v>
      </c>
      <c r="E352" s="325" t="s">
        <v>719</v>
      </c>
      <c r="F352" s="325">
        <v>7.0000000000000007E-2</v>
      </c>
      <c r="G352" s="324">
        <v>0.04</v>
      </c>
    </row>
    <row r="353" spans="1:7" x14ac:dyDescent="0.3">
      <c r="A353" s="326" t="s">
        <v>1453</v>
      </c>
      <c r="B353" s="325">
        <v>81300</v>
      </c>
      <c r="C353" s="325">
        <v>0.3</v>
      </c>
      <c r="D353" s="325">
        <v>0.2</v>
      </c>
      <c r="E353" s="325" t="s">
        <v>747</v>
      </c>
      <c r="F353" s="325">
        <v>0.32</v>
      </c>
      <c r="G353" s="324">
        <v>0.12</v>
      </c>
    </row>
    <row r="354" spans="1:7" x14ac:dyDescent="0.3">
      <c r="A354" s="326" t="s">
        <v>1452</v>
      </c>
      <c r="B354" s="325">
        <v>25281</v>
      </c>
      <c r="C354" s="325">
        <v>0.25</v>
      </c>
      <c r="D354" s="325">
        <v>0.25</v>
      </c>
      <c r="E354" s="325" t="s">
        <v>747</v>
      </c>
      <c r="F354" s="325">
        <v>0.16</v>
      </c>
      <c r="G354" s="324">
        <v>0.06</v>
      </c>
    </row>
    <row r="355" spans="1:7" x14ac:dyDescent="0.3">
      <c r="A355" s="326" t="s">
        <v>1451</v>
      </c>
      <c r="B355" s="325">
        <v>52520</v>
      </c>
      <c r="C355" s="325">
        <v>0.5</v>
      </c>
      <c r="D355" s="325">
        <v>0.4</v>
      </c>
      <c r="E355" s="325" t="s">
        <v>747</v>
      </c>
      <c r="F355" s="325">
        <v>0.16</v>
      </c>
      <c r="G355" s="324">
        <v>0.08</v>
      </c>
    </row>
    <row r="356" spans="1:7" x14ac:dyDescent="0.3">
      <c r="A356" s="326" t="s">
        <v>1450</v>
      </c>
      <c r="B356" s="325">
        <v>5282</v>
      </c>
      <c r="C356" s="325">
        <v>0.2</v>
      </c>
      <c r="D356" s="325">
        <v>0.25</v>
      </c>
      <c r="E356" s="325" t="s">
        <v>747</v>
      </c>
      <c r="F356" s="325">
        <v>0.16</v>
      </c>
      <c r="G356" s="324">
        <v>0.09</v>
      </c>
    </row>
    <row r="357" spans="1:7" x14ac:dyDescent="0.3">
      <c r="A357" s="326" t="s">
        <v>1449</v>
      </c>
      <c r="B357" s="325">
        <v>73283</v>
      </c>
      <c r="C357" s="325">
        <v>0.2</v>
      </c>
      <c r="D357" s="325">
        <v>0.2</v>
      </c>
      <c r="E357" s="325" t="s">
        <v>719</v>
      </c>
      <c r="F357" s="325">
        <v>0.14000000000000001</v>
      </c>
      <c r="G357" s="324">
        <v>0.09</v>
      </c>
    </row>
    <row r="358" spans="1:7" x14ac:dyDescent="0.3">
      <c r="A358" s="326" t="s">
        <v>1448</v>
      </c>
      <c r="B358" s="325">
        <v>5284</v>
      </c>
      <c r="C358" s="325">
        <v>0.3</v>
      </c>
      <c r="D358" s="325">
        <v>0.3</v>
      </c>
      <c r="E358" s="325" t="s">
        <v>747</v>
      </c>
      <c r="F358" s="325">
        <v>0.15</v>
      </c>
      <c r="G358" s="324">
        <v>0.09</v>
      </c>
    </row>
    <row r="359" spans="1:7" x14ac:dyDescent="0.3">
      <c r="A359" s="326" t="s">
        <v>1447</v>
      </c>
      <c r="B359" s="325">
        <v>50287</v>
      </c>
      <c r="C359" s="325">
        <v>0.15</v>
      </c>
      <c r="D359" s="325">
        <v>0.2</v>
      </c>
      <c r="E359" s="325" t="s">
        <v>719</v>
      </c>
      <c r="F359" s="325">
        <v>0.05</v>
      </c>
      <c r="G359" s="324">
        <v>0.02</v>
      </c>
    </row>
    <row r="360" spans="1:7" x14ac:dyDescent="0.3">
      <c r="A360" s="326" t="s">
        <v>1446</v>
      </c>
      <c r="B360" s="325">
        <v>47288</v>
      </c>
      <c r="C360" s="325">
        <v>0.1</v>
      </c>
      <c r="D360" s="325">
        <v>0.1</v>
      </c>
      <c r="E360" s="325" t="s">
        <v>743</v>
      </c>
      <c r="F360" s="325">
        <v>0.05</v>
      </c>
      <c r="G360" s="324">
        <v>0.02</v>
      </c>
    </row>
    <row r="361" spans="1:7" x14ac:dyDescent="0.3">
      <c r="A361" s="326" t="s">
        <v>1445</v>
      </c>
      <c r="B361" s="325">
        <v>52287</v>
      </c>
      <c r="C361" s="325">
        <v>0.25</v>
      </c>
      <c r="D361" s="325">
        <v>0.25</v>
      </c>
      <c r="E361" s="325" t="s">
        <v>747</v>
      </c>
      <c r="F361" s="325">
        <v>0.16</v>
      </c>
      <c r="G361" s="324">
        <v>0.08</v>
      </c>
    </row>
    <row r="362" spans="1:7" x14ac:dyDescent="0.3">
      <c r="A362" s="326" t="s">
        <v>1444</v>
      </c>
      <c r="B362" s="325">
        <v>25286</v>
      </c>
      <c r="C362" s="325">
        <v>0.15</v>
      </c>
      <c r="D362" s="325">
        <v>0.2</v>
      </c>
      <c r="E362" s="325" t="s">
        <v>719</v>
      </c>
      <c r="F362" s="325">
        <v>0.1</v>
      </c>
      <c r="G362" s="324">
        <v>0.06</v>
      </c>
    </row>
    <row r="363" spans="1:7" x14ac:dyDescent="0.3">
      <c r="A363" s="326" t="s">
        <v>1443</v>
      </c>
      <c r="B363" s="325">
        <v>25288</v>
      </c>
      <c r="C363" s="325">
        <v>0.15</v>
      </c>
      <c r="D363" s="325">
        <v>0.2</v>
      </c>
      <c r="E363" s="325" t="s">
        <v>719</v>
      </c>
      <c r="F363" s="325">
        <v>0.08</v>
      </c>
      <c r="G363" s="324">
        <v>0.05</v>
      </c>
    </row>
    <row r="364" spans="1:7" x14ac:dyDescent="0.3">
      <c r="A364" s="326" t="s">
        <v>1442</v>
      </c>
      <c r="B364" s="325">
        <v>25290</v>
      </c>
      <c r="C364" s="325">
        <v>0.2</v>
      </c>
      <c r="D364" s="325">
        <v>0.2</v>
      </c>
      <c r="E364" s="325" t="s">
        <v>719</v>
      </c>
      <c r="F364" s="325">
        <v>0.09</v>
      </c>
      <c r="G364" s="324">
        <v>0.05</v>
      </c>
    </row>
    <row r="365" spans="1:7" x14ac:dyDescent="0.3">
      <c r="A365" s="326" t="s">
        <v>1441</v>
      </c>
      <c r="B365" s="325">
        <v>25293</v>
      </c>
      <c r="C365" s="325">
        <v>0.3</v>
      </c>
      <c r="D365" s="325">
        <v>0.25</v>
      </c>
      <c r="E365" s="325" t="s">
        <v>747</v>
      </c>
      <c r="F365" s="325">
        <v>0.26</v>
      </c>
      <c r="G365" s="324">
        <v>0.06</v>
      </c>
    </row>
    <row r="366" spans="1:7" x14ac:dyDescent="0.3">
      <c r="A366" s="326" t="s">
        <v>1440</v>
      </c>
      <c r="B366" s="325">
        <v>25295</v>
      </c>
      <c r="C366" s="325">
        <v>0.15</v>
      </c>
      <c r="D366" s="325">
        <v>0.2</v>
      </c>
      <c r="E366" s="325" t="s">
        <v>719</v>
      </c>
      <c r="F366" s="325">
        <v>0.09</v>
      </c>
      <c r="G366" s="324">
        <v>0.05</v>
      </c>
    </row>
    <row r="367" spans="1:7" x14ac:dyDescent="0.3">
      <c r="A367" s="326" t="s">
        <v>1439</v>
      </c>
      <c r="B367" s="325">
        <v>15293</v>
      </c>
      <c r="C367" s="325">
        <v>0.15</v>
      </c>
      <c r="D367" s="325">
        <v>0.2</v>
      </c>
      <c r="E367" s="325" t="s">
        <v>719</v>
      </c>
      <c r="F367" s="325">
        <v>0.09</v>
      </c>
      <c r="G367" s="324">
        <v>0.05</v>
      </c>
    </row>
    <row r="368" spans="1:7" x14ac:dyDescent="0.3">
      <c r="A368" s="326" t="s">
        <v>1438</v>
      </c>
      <c r="B368" s="325">
        <v>25297</v>
      </c>
      <c r="C368" s="325">
        <v>0.2</v>
      </c>
      <c r="D368" s="325">
        <v>0.25</v>
      </c>
      <c r="E368" s="325" t="s">
        <v>747</v>
      </c>
      <c r="F368" s="325">
        <v>0.15</v>
      </c>
      <c r="G368" s="324">
        <v>0.06</v>
      </c>
    </row>
    <row r="369" spans="1:7" x14ac:dyDescent="0.3">
      <c r="A369" s="326" t="s">
        <v>1437</v>
      </c>
      <c r="B369" s="325">
        <v>68296</v>
      </c>
      <c r="C369" s="325">
        <v>0.15</v>
      </c>
      <c r="D369" s="325">
        <v>0.2</v>
      </c>
      <c r="E369" s="325" t="s">
        <v>719</v>
      </c>
      <c r="F369" s="325">
        <v>0.2</v>
      </c>
      <c r="G369" s="324">
        <v>0.1</v>
      </c>
    </row>
    <row r="370" spans="1:7" x14ac:dyDescent="0.3">
      <c r="A370" s="326" t="s">
        <v>1436</v>
      </c>
      <c r="B370" s="325">
        <v>8296</v>
      </c>
      <c r="C370" s="325">
        <v>0.1</v>
      </c>
      <c r="D370" s="325">
        <v>0.1</v>
      </c>
      <c r="E370" s="325" t="s">
        <v>743</v>
      </c>
      <c r="F370" s="325">
        <v>0.05</v>
      </c>
      <c r="G370" s="324">
        <v>0.03</v>
      </c>
    </row>
    <row r="371" spans="1:7" x14ac:dyDescent="0.3">
      <c r="A371" s="326" t="s">
        <v>1435</v>
      </c>
      <c r="B371" s="325">
        <v>70235</v>
      </c>
      <c r="C371" s="325">
        <v>0.1</v>
      </c>
      <c r="D371" s="325">
        <v>0.15</v>
      </c>
      <c r="E371" s="325" t="s">
        <v>719</v>
      </c>
      <c r="F371" s="325">
        <v>0.04</v>
      </c>
      <c r="G371" s="324">
        <v>0.03</v>
      </c>
    </row>
    <row r="372" spans="1:7" x14ac:dyDescent="0.3">
      <c r="A372" s="326" t="s">
        <v>1434</v>
      </c>
      <c r="B372" s="325">
        <v>25299</v>
      </c>
      <c r="C372" s="325">
        <v>0.25</v>
      </c>
      <c r="D372" s="325">
        <v>0.25</v>
      </c>
      <c r="E372" s="325" t="s">
        <v>747</v>
      </c>
      <c r="F372" s="325">
        <v>0.16</v>
      </c>
      <c r="G372" s="324">
        <v>0.06</v>
      </c>
    </row>
    <row r="373" spans="1:7" x14ac:dyDescent="0.3">
      <c r="A373" s="326" t="s">
        <v>1433</v>
      </c>
      <c r="B373" s="325">
        <v>20295</v>
      </c>
      <c r="C373" s="325">
        <v>0.15</v>
      </c>
      <c r="D373" s="325">
        <v>0.15</v>
      </c>
      <c r="E373" s="325" t="s">
        <v>719</v>
      </c>
      <c r="F373" s="325">
        <v>0.08</v>
      </c>
      <c r="G373" s="324">
        <v>0.04</v>
      </c>
    </row>
    <row r="374" spans="1:7" x14ac:dyDescent="0.3">
      <c r="A374" s="326" t="s">
        <v>1432</v>
      </c>
      <c r="B374" s="325">
        <v>68298</v>
      </c>
      <c r="C374" s="325">
        <v>0.2</v>
      </c>
      <c r="D374" s="325">
        <v>0.2</v>
      </c>
      <c r="E374" s="325" t="s">
        <v>719</v>
      </c>
      <c r="F374" s="325">
        <v>7.0000000000000007E-2</v>
      </c>
      <c r="G374" s="324">
        <v>0.05</v>
      </c>
    </row>
    <row r="375" spans="1:7" x14ac:dyDescent="0.3">
      <c r="A375" s="326" t="s">
        <v>1431</v>
      </c>
      <c r="B375" s="325">
        <v>15296</v>
      </c>
      <c r="C375" s="325">
        <v>0.25</v>
      </c>
      <c r="D375" s="325">
        <v>0.25</v>
      </c>
      <c r="E375" s="325" t="s">
        <v>747</v>
      </c>
      <c r="F375" s="325">
        <v>0.16</v>
      </c>
      <c r="G375" s="324">
        <v>0.08</v>
      </c>
    </row>
    <row r="376" spans="1:7" x14ac:dyDescent="0.3">
      <c r="A376" s="326" t="s">
        <v>1430</v>
      </c>
      <c r="B376" s="325">
        <v>15299</v>
      </c>
      <c r="C376" s="325">
        <v>0.25</v>
      </c>
      <c r="D376" s="325">
        <v>0.25</v>
      </c>
      <c r="E376" s="325" t="s">
        <v>747</v>
      </c>
      <c r="F376" s="325">
        <v>0.16</v>
      </c>
      <c r="G376" s="324">
        <v>0.08</v>
      </c>
    </row>
    <row r="377" spans="1:7" x14ac:dyDescent="0.3">
      <c r="A377" s="326" t="s">
        <v>1429</v>
      </c>
      <c r="B377" s="325">
        <v>41298</v>
      </c>
      <c r="C377" s="325">
        <v>0.3</v>
      </c>
      <c r="D377" s="325">
        <v>0.15</v>
      </c>
      <c r="E377" s="325" t="s">
        <v>747</v>
      </c>
      <c r="F377" s="325">
        <v>0.2</v>
      </c>
      <c r="G377" s="324">
        <v>7.0000000000000007E-2</v>
      </c>
    </row>
    <row r="378" spans="1:7" x14ac:dyDescent="0.3">
      <c r="A378" s="326" t="s">
        <v>1428</v>
      </c>
      <c r="B378" s="325">
        <v>63302</v>
      </c>
      <c r="C378" s="325">
        <v>0.25</v>
      </c>
      <c r="D378" s="325">
        <v>0.2</v>
      </c>
      <c r="E378" s="325" t="s">
        <v>747</v>
      </c>
      <c r="F378" s="325">
        <v>0.2</v>
      </c>
      <c r="G378" s="324">
        <v>0.09</v>
      </c>
    </row>
    <row r="379" spans="1:7" x14ac:dyDescent="0.3">
      <c r="A379" s="326" t="s">
        <v>1427</v>
      </c>
      <c r="B379" s="325">
        <v>41306</v>
      </c>
      <c r="C379" s="325">
        <v>0.3</v>
      </c>
      <c r="D379" s="325">
        <v>0.15</v>
      </c>
      <c r="E379" s="325" t="s">
        <v>747</v>
      </c>
      <c r="F379" s="325">
        <v>0.2</v>
      </c>
      <c r="G379" s="324">
        <v>0.08</v>
      </c>
    </row>
    <row r="380" spans="1:7" x14ac:dyDescent="0.3">
      <c r="A380" s="326" t="s">
        <v>1426</v>
      </c>
      <c r="B380" s="325">
        <v>76306</v>
      </c>
      <c r="C380" s="325">
        <v>0.25</v>
      </c>
      <c r="D380" s="325">
        <v>0.2</v>
      </c>
      <c r="E380" s="325" t="s">
        <v>747</v>
      </c>
      <c r="F380" s="325">
        <v>0.11</v>
      </c>
      <c r="G380" s="324">
        <v>7.0000000000000007E-2</v>
      </c>
    </row>
    <row r="381" spans="1:7" x14ac:dyDescent="0.3">
      <c r="A381" s="326" t="s">
        <v>1425</v>
      </c>
      <c r="B381" s="325">
        <v>5306</v>
      </c>
      <c r="C381" s="325">
        <v>0.2</v>
      </c>
      <c r="D381" s="325">
        <v>0.25</v>
      </c>
      <c r="E381" s="325" t="s">
        <v>747</v>
      </c>
      <c r="F381" s="325">
        <v>0.12</v>
      </c>
      <c r="G381" s="324">
        <v>7.0000000000000007E-2</v>
      </c>
    </row>
    <row r="382" spans="1:7" x14ac:dyDescent="0.3">
      <c r="A382" s="326" t="s">
        <v>1424</v>
      </c>
      <c r="B382" s="325">
        <v>25307</v>
      </c>
      <c r="C382" s="325">
        <v>0.2</v>
      </c>
      <c r="D382" s="325">
        <v>0.2</v>
      </c>
      <c r="E382" s="325" t="s">
        <v>719</v>
      </c>
      <c r="F382" s="325">
        <v>0.12</v>
      </c>
      <c r="G382" s="324">
        <v>0.06</v>
      </c>
    </row>
    <row r="383" spans="1:7" x14ac:dyDescent="0.3">
      <c r="A383" s="326" t="s">
        <v>1423</v>
      </c>
      <c r="B383" s="325">
        <v>5308</v>
      </c>
      <c r="C383" s="325">
        <v>0.15</v>
      </c>
      <c r="D383" s="325">
        <v>0.2</v>
      </c>
      <c r="E383" s="325" t="s">
        <v>719</v>
      </c>
      <c r="F383" s="325">
        <v>0.11</v>
      </c>
      <c r="G383" s="324">
        <v>0.06</v>
      </c>
    </row>
    <row r="384" spans="1:7" x14ac:dyDescent="0.3">
      <c r="A384" s="326" t="s">
        <v>1422</v>
      </c>
      <c r="B384" s="325">
        <v>68307</v>
      </c>
      <c r="C384" s="325">
        <v>0.2</v>
      </c>
      <c r="D384" s="325">
        <v>0.25</v>
      </c>
      <c r="E384" s="325" t="s">
        <v>747</v>
      </c>
      <c r="F384" s="325">
        <v>0.18</v>
      </c>
      <c r="G384" s="324">
        <v>0.1</v>
      </c>
    </row>
    <row r="385" spans="1:7" x14ac:dyDescent="0.3">
      <c r="A385" s="326" t="s">
        <v>1421</v>
      </c>
      <c r="B385" s="325">
        <v>68327</v>
      </c>
      <c r="C385" s="325">
        <v>0.15</v>
      </c>
      <c r="D385" s="325">
        <v>0.2</v>
      </c>
      <c r="E385" s="325" t="s">
        <v>719</v>
      </c>
      <c r="F385" s="325">
        <v>0.09</v>
      </c>
      <c r="G385" s="324">
        <v>0.06</v>
      </c>
    </row>
    <row r="386" spans="1:7" x14ac:dyDescent="0.3">
      <c r="A386" s="326" t="s">
        <v>1420</v>
      </c>
      <c r="B386" s="325">
        <v>5310</v>
      </c>
      <c r="C386" s="325">
        <v>0.15</v>
      </c>
      <c r="D386" s="325">
        <v>0.2</v>
      </c>
      <c r="E386" s="325" t="s">
        <v>719</v>
      </c>
      <c r="F386" s="325">
        <v>0.08</v>
      </c>
      <c r="G386" s="324">
        <v>0.04</v>
      </c>
    </row>
    <row r="387" spans="1:7" x14ac:dyDescent="0.3">
      <c r="A387" s="326" t="s">
        <v>1419</v>
      </c>
      <c r="B387" s="325">
        <v>20310</v>
      </c>
      <c r="C387" s="325">
        <v>0.2</v>
      </c>
      <c r="D387" s="325">
        <v>0.15</v>
      </c>
      <c r="E387" s="325" t="s">
        <v>719</v>
      </c>
      <c r="F387" s="325">
        <v>0.08</v>
      </c>
      <c r="G387" s="324">
        <v>0.04</v>
      </c>
    </row>
    <row r="388" spans="1:7" x14ac:dyDescent="0.3">
      <c r="A388" s="326" t="s">
        <v>1418</v>
      </c>
      <c r="B388" s="325">
        <v>54313</v>
      </c>
      <c r="C388" s="325">
        <v>0.3</v>
      </c>
      <c r="D388" s="325">
        <v>0.25</v>
      </c>
      <c r="E388" s="325" t="s">
        <v>747</v>
      </c>
      <c r="F388" s="325">
        <v>0.11</v>
      </c>
      <c r="G388" s="324">
        <v>0.05</v>
      </c>
    </row>
    <row r="389" spans="1:7" x14ac:dyDescent="0.3">
      <c r="A389" s="326" t="s">
        <v>1417</v>
      </c>
      <c r="B389" s="325">
        <v>50313</v>
      </c>
      <c r="C389" s="325">
        <v>0.2</v>
      </c>
      <c r="D389" s="325">
        <v>0.25</v>
      </c>
      <c r="E389" s="325" t="s">
        <v>747</v>
      </c>
      <c r="F389" s="325">
        <v>7.0000000000000007E-2</v>
      </c>
      <c r="G389" s="324">
        <v>0.03</v>
      </c>
    </row>
    <row r="390" spans="1:7" x14ac:dyDescent="0.3">
      <c r="A390" s="326" t="s">
        <v>1417</v>
      </c>
      <c r="B390" s="325">
        <v>5313</v>
      </c>
      <c r="C390" s="325">
        <v>0.15</v>
      </c>
      <c r="D390" s="325">
        <v>0.2</v>
      </c>
      <c r="E390" s="325" t="s">
        <v>719</v>
      </c>
      <c r="F390" s="325">
        <v>0.1</v>
      </c>
      <c r="G390" s="324">
        <v>0.05</v>
      </c>
    </row>
    <row r="391" spans="1:7" x14ac:dyDescent="0.3">
      <c r="A391" s="326" t="s">
        <v>1417</v>
      </c>
      <c r="B391" s="325">
        <v>25312</v>
      </c>
      <c r="C391" s="325">
        <v>0.15</v>
      </c>
      <c r="D391" s="325">
        <v>0.2</v>
      </c>
      <c r="E391" s="325" t="s">
        <v>719</v>
      </c>
      <c r="F391" s="325">
        <v>0.1</v>
      </c>
      <c r="G391" s="324">
        <v>0.05</v>
      </c>
    </row>
    <row r="392" spans="1:7" x14ac:dyDescent="0.3">
      <c r="A392" s="326" t="s">
        <v>1416</v>
      </c>
      <c r="B392" s="325">
        <v>68318</v>
      </c>
      <c r="C392" s="325">
        <v>0.25</v>
      </c>
      <c r="D392" s="325">
        <v>0.25</v>
      </c>
      <c r="E392" s="325" t="s">
        <v>747</v>
      </c>
      <c r="F392" s="325">
        <v>0.09</v>
      </c>
      <c r="G392" s="324">
        <v>0.05</v>
      </c>
    </row>
    <row r="393" spans="1:7" x14ac:dyDescent="0.3">
      <c r="A393" s="326" t="s">
        <v>1415</v>
      </c>
      <c r="B393" s="325">
        <v>15317</v>
      </c>
      <c r="C393" s="325">
        <v>0.25</v>
      </c>
      <c r="D393" s="325">
        <v>0.25</v>
      </c>
      <c r="E393" s="325" t="s">
        <v>747</v>
      </c>
      <c r="F393" s="325">
        <v>0.18</v>
      </c>
      <c r="G393" s="324">
        <v>0.08</v>
      </c>
    </row>
    <row r="394" spans="1:7" x14ac:dyDescent="0.3">
      <c r="A394" s="326" t="s">
        <v>1414</v>
      </c>
      <c r="B394" s="325">
        <v>76318</v>
      </c>
      <c r="C394" s="325">
        <v>0.25</v>
      </c>
      <c r="D394" s="325">
        <v>0.25</v>
      </c>
      <c r="E394" s="325" t="s">
        <v>747</v>
      </c>
      <c r="F394" s="325">
        <v>0.12</v>
      </c>
      <c r="G394" s="324">
        <v>0.08</v>
      </c>
    </row>
    <row r="395" spans="1:7" x14ac:dyDescent="0.3">
      <c r="A395" s="326" t="s">
        <v>1413</v>
      </c>
      <c r="B395" s="325">
        <v>25317</v>
      </c>
      <c r="C395" s="325">
        <v>0.15</v>
      </c>
      <c r="D395" s="325">
        <v>0.2</v>
      </c>
      <c r="E395" s="325" t="s">
        <v>719</v>
      </c>
      <c r="F395" s="325">
        <v>0.08</v>
      </c>
      <c r="G395" s="324">
        <v>0.05</v>
      </c>
    </row>
    <row r="396" spans="1:7" x14ac:dyDescent="0.3">
      <c r="A396" s="326" t="s">
        <v>1793</v>
      </c>
      <c r="B396" s="325">
        <v>19300</v>
      </c>
      <c r="C396" s="325">
        <v>0.25</v>
      </c>
      <c r="D396" s="325">
        <v>0.2</v>
      </c>
      <c r="E396" s="325" t="s">
        <v>747</v>
      </c>
      <c r="F396" s="325">
        <v>0.16</v>
      </c>
      <c r="G396" s="324">
        <v>7.0000000000000007E-2</v>
      </c>
    </row>
    <row r="397" spans="1:7" x14ac:dyDescent="0.3">
      <c r="A397" s="326" t="s">
        <v>1412</v>
      </c>
      <c r="B397" s="325">
        <v>52317</v>
      </c>
      <c r="C397" s="325">
        <v>0.25</v>
      </c>
      <c r="D397" s="325">
        <v>0.25</v>
      </c>
      <c r="E397" s="325" t="s">
        <v>747</v>
      </c>
      <c r="F397" s="325">
        <v>0.16</v>
      </c>
      <c r="G397" s="324">
        <v>0.08</v>
      </c>
    </row>
    <row r="398" spans="1:7" x14ac:dyDescent="0.3">
      <c r="A398" s="326" t="s">
        <v>1411</v>
      </c>
      <c r="B398" s="325">
        <v>41319</v>
      </c>
      <c r="C398" s="325">
        <v>0.3</v>
      </c>
      <c r="D398" s="325">
        <v>0.15</v>
      </c>
      <c r="E398" s="325" t="s">
        <v>747</v>
      </c>
      <c r="F398" s="325">
        <v>0.16</v>
      </c>
      <c r="G398" s="324">
        <v>0.06</v>
      </c>
    </row>
    <row r="399" spans="1:7" x14ac:dyDescent="0.3">
      <c r="A399" s="326" t="s">
        <v>1411</v>
      </c>
      <c r="B399" s="325">
        <v>5315</v>
      </c>
      <c r="C399" s="325">
        <v>0.15</v>
      </c>
      <c r="D399" s="325">
        <v>0.2</v>
      </c>
      <c r="E399" s="325" t="s">
        <v>719</v>
      </c>
      <c r="F399" s="325">
        <v>0.08</v>
      </c>
      <c r="G399" s="324">
        <v>0.04</v>
      </c>
    </row>
    <row r="400" spans="1:7" x14ac:dyDescent="0.3">
      <c r="A400" s="326" t="s">
        <v>1411</v>
      </c>
      <c r="B400" s="325">
        <v>68320</v>
      </c>
      <c r="C400" s="325">
        <v>0.15</v>
      </c>
      <c r="D400" s="325">
        <v>0.2</v>
      </c>
      <c r="E400" s="325" t="s">
        <v>719</v>
      </c>
      <c r="F400" s="325">
        <v>0.16</v>
      </c>
      <c r="G400" s="324">
        <v>0.09</v>
      </c>
    </row>
    <row r="401" spans="1:7" x14ac:dyDescent="0.3">
      <c r="A401" s="326" t="s">
        <v>1410</v>
      </c>
      <c r="B401" s="325">
        <v>25320</v>
      </c>
      <c r="C401" s="325">
        <v>0.15</v>
      </c>
      <c r="D401" s="325">
        <v>0.2</v>
      </c>
      <c r="E401" s="325" t="s">
        <v>719</v>
      </c>
      <c r="F401" s="325">
        <v>0.15</v>
      </c>
      <c r="G401" s="324">
        <v>0.06</v>
      </c>
    </row>
    <row r="402" spans="1:7" x14ac:dyDescent="0.3">
      <c r="A402" s="326" t="s">
        <v>1409</v>
      </c>
      <c r="B402" s="325">
        <v>52320</v>
      </c>
      <c r="C402" s="325">
        <v>0.25</v>
      </c>
      <c r="D402" s="325">
        <v>0.25</v>
      </c>
      <c r="E402" s="325" t="s">
        <v>747</v>
      </c>
      <c r="F402" s="325">
        <v>0.13</v>
      </c>
      <c r="G402" s="324">
        <v>0.08</v>
      </c>
    </row>
    <row r="403" spans="1:7" x14ac:dyDescent="0.3">
      <c r="A403" s="326" t="s">
        <v>1408</v>
      </c>
      <c r="B403" s="325">
        <v>52323</v>
      </c>
      <c r="C403" s="325">
        <v>0.25</v>
      </c>
      <c r="D403" s="325">
        <v>0.25</v>
      </c>
      <c r="E403" s="325" t="s">
        <v>747</v>
      </c>
      <c r="F403" s="325">
        <v>0.12</v>
      </c>
      <c r="G403" s="324">
        <v>7.0000000000000007E-2</v>
      </c>
    </row>
    <row r="404" spans="1:7" x14ac:dyDescent="0.3">
      <c r="A404" s="326" t="s">
        <v>1407</v>
      </c>
      <c r="B404" s="325">
        <v>50318</v>
      </c>
      <c r="C404" s="325">
        <v>0.35</v>
      </c>
      <c r="D404" s="325">
        <v>0.25</v>
      </c>
      <c r="E404" s="325" t="s">
        <v>747</v>
      </c>
      <c r="F404" s="325">
        <v>0.28000000000000003</v>
      </c>
      <c r="G404" s="324">
        <v>0.08</v>
      </c>
    </row>
    <row r="405" spans="1:7" x14ac:dyDescent="0.3">
      <c r="A405" s="326" t="s">
        <v>1407</v>
      </c>
      <c r="B405" s="325">
        <v>47318</v>
      </c>
      <c r="C405" s="325">
        <v>0.1</v>
      </c>
      <c r="D405" s="325">
        <v>0.1</v>
      </c>
      <c r="E405" s="325" t="s">
        <v>743</v>
      </c>
      <c r="F405" s="325">
        <v>0.04</v>
      </c>
      <c r="G405" s="324">
        <v>0.02</v>
      </c>
    </row>
    <row r="406" spans="1:7" x14ac:dyDescent="0.3">
      <c r="A406" s="326" t="s">
        <v>1406</v>
      </c>
      <c r="B406" s="325">
        <v>73319</v>
      </c>
      <c r="C406" s="325">
        <v>0.25</v>
      </c>
      <c r="D406" s="325">
        <v>0.2</v>
      </c>
      <c r="E406" s="325" t="s">
        <v>747</v>
      </c>
      <c r="F406" s="325">
        <v>0.11</v>
      </c>
      <c r="G406" s="324">
        <v>0.06</v>
      </c>
    </row>
    <row r="407" spans="1:7" x14ac:dyDescent="0.3">
      <c r="A407" s="326" t="s">
        <v>1405</v>
      </c>
      <c r="B407" s="325">
        <v>19318</v>
      </c>
      <c r="C407" s="325">
        <v>0.4</v>
      </c>
      <c r="D407" s="325">
        <v>0.35</v>
      </c>
      <c r="E407" s="325" t="s">
        <v>747</v>
      </c>
      <c r="F407" s="325">
        <v>0.14000000000000001</v>
      </c>
      <c r="G407" s="324">
        <v>0.08</v>
      </c>
    </row>
    <row r="408" spans="1:7" x14ac:dyDescent="0.3">
      <c r="A408" s="326" t="s">
        <v>1404</v>
      </c>
      <c r="B408" s="325">
        <v>68322</v>
      </c>
      <c r="C408" s="325">
        <v>0.15</v>
      </c>
      <c r="D408" s="325">
        <v>0.2</v>
      </c>
      <c r="E408" s="325" t="s">
        <v>719</v>
      </c>
      <c r="F408" s="325">
        <v>0.12</v>
      </c>
      <c r="G408" s="324">
        <v>0.08</v>
      </c>
    </row>
    <row r="409" spans="1:7" x14ac:dyDescent="0.3">
      <c r="A409" s="326" t="s">
        <v>1403</v>
      </c>
      <c r="B409" s="325">
        <v>70265</v>
      </c>
      <c r="C409" s="325">
        <v>0.15</v>
      </c>
      <c r="D409" s="325">
        <v>0.15</v>
      </c>
      <c r="E409" s="325" t="s">
        <v>719</v>
      </c>
      <c r="F409" s="325">
        <v>0.06</v>
      </c>
      <c r="G409" s="324">
        <v>0.05</v>
      </c>
    </row>
    <row r="410" spans="1:7" x14ac:dyDescent="0.3">
      <c r="A410" s="326" t="s">
        <v>1402</v>
      </c>
      <c r="B410" s="325">
        <v>5318</v>
      </c>
      <c r="C410" s="325">
        <v>0.15</v>
      </c>
      <c r="D410" s="325">
        <v>0.2</v>
      </c>
      <c r="E410" s="325" t="s">
        <v>719</v>
      </c>
      <c r="F410" s="325">
        <v>0.12</v>
      </c>
      <c r="G410" s="324">
        <v>0.06</v>
      </c>
    </row>
    <row r="411" spans="1:7" x14ac:dyDescent="0.3">
      <c r="A411" s="326" t="s">
        <v>1401</v>
      </c>
      <c r="B411" s="325">
        <v>25322</v>
      </c>
      <c r="C411" s="325">
        <v>0.15</v>
      </c>
      <c r="D411" s="325">
        <v>0.25</v>
      </c>
      <c r="E411" s="325" t="s">
        <v>747</v>
      </c>
      <c r="F411" s="325">
        <v>0.11</v>
      </c>
      <c r="G411" s="324">
        <v>0.05</v>
      </c>
    </row>
    <row r="412" spans="1:7" x14ac:dyDescent="0.3">
      <c r="A412" s="326" t="s">
        <v>1400</v>
      </c>
      <c r="B412" s="325">
        <v>5321</v>
      </c>
      <c r="C412" s="325">
        <v>0.15</v>
      </c>
      <c r="D412" s="325">
        <v>0.2</v>
      </c>
      <c r="E412" s="325" t="s">
        <v>719</v>
      </c>
      <c r="F412" s="325">
        <v>0.1</v>
      </c>
      <c r="G412" s="324">
        <v>0.05</v>
      </c>
    </row>
    <row r="413" spans="1:7" x14ac:dyDescent="0.3">
      <c r="A413" s="326" t="s">
        <v>1399</v>
      </c>
      <c r="B413" s="325">
        <v>25324</v>
      </c>
      <c r="C413" s="325">
        <v>0.2</v>
      </c>
      <c r="D413" s="325">
        <v>0.2</v>
      </c>
      <c r="E413" s="325" t="s">
        <v>719</v>
      </c>
      <c r="F413" s="325">
        <v>0.16</v>
      </c>
      <c r="G413" s="324">
        <v>0.06</v>
      </c>
    </row>
    <row r="414" spans="1:7" x14ac:dyDescent="0.3">
      <c r="A414" s="326" t="s">
        <v>1398</v>
      </c>
      <c r="B414" s="325">
        <v>25326</v>
      </c>
      <c r="C414" s="325">
        <v>0.15</v>
      </c>
      <c r="D414" s="325">
        <v>0.2</v>
      </c>
      <c r="E414" s="325" t="s">
        <v>719</v>
      </c>
      <c r="F414" s="325">
        <v>0.11</v>
      </c>
      <c r="G414" s="324">
        <v>0.05</v>
      </c>
    </row>
    <row r="415" spans="1:7" x14ac:dyDescent="0.3">
      <c r="A415" s="326" t="s">
        <v>1397</v>
      </c>
      <c r="B415" s="325">
        <v>15322</v>
      </c>
      <c r="C415" s="325">
        <v>0.2</v>
      </c>
      <c r="D415" s="325">
        <v>0.25</v>
      </c>
      <c r="E415" s="325" t="s">
        <v>747</v>
      </c>
      <c r="F415" s="325">
        <v>0.16</v>
      </c>
      <c r="G415" s="324">
        <v>7.0000000000000007E-2</v>
      </c>
    </row>
    <row r="416" spans="1:7" x14ac:dyDescent="0.3">
      <c r="A416" s="326" t="s">
        <v>1396</v>
      </c>
      <c r="B416" s="325">
        <v>66318</v>
      </c>
      <c r="C416" s="325">
        <v>0.25</v>
      </c>
      <c r="D416" s="325">
        <v>0.3</v>
      </c>
      <c r="E416" s="325" t="s">
        <v>747</v>
      </c>
      <c r="F416" s="325">
        <v>0.2</v>
      </c>
      <c r="G416" s="324">
        <v>0.1</v>
      </c>
    </row>
    <row r="417" spans="1:7" x14ac:dyDescent="0.3">
      <c r="A417" s="326" t="s">
        <v>1395</v>
      </c>
      <c r="B417" s="325">
        <v>68324</v>
      </c>
      <c r="C417" s="325">
        <v>0.15</v>
      </c>
      <c r="D417" s="325">
        <v>0.15</v>
      </c>
      <c r="E417" s="325" t="s">
        <v>719</v>
      </c>
      <c r="F417" s="325">
        <v>0.1</v>
      </c>
      <c r="G417" s="324">
        <v>0.06</v>
      </c>
    </row>
    <row r="418" spans="1:7" x14ac:dyDescent="0.3">
      <c r="A418" s="326" t="s">
        <v>1394</v>
      </c>
      <c r="B418" s="325">
        <v>25328</v>
      </c>
      <c r="C418" s="325">
        <v>0.15</v>
      </c>
      <c r="D418" s="325">
        <v>0.2</v>
      </c>
      <c r="E418" s="325" t="s">
        <v>719</v>
      </c>
      <c r="F418" s="325">
        <v>0.16</v>
      </c>
      <c r="G418" s="324">
        <v>0.06</v>
      </c>
    </row>
    <row r="419" spans="1:7" x14ac:dyDescent="0.3">
      <c r="A419" s="326" t="s">
        <v>1393</v>
      </c>
      <c r="B419" s="325">
        <v>25335</v>
      </c>
      <c r="C419" s="325">
        <v>0.3</v>
      </c>
      <c r="D419" s="325">
        <v>0.25</v>
      </c>
      <c r="E419" s="325" t="s">
        <v>747</v>
      </c>
      <c r="F419" s="325">
        <v>0.16</v>
      </c>
      <c r="G419" s="324">
        <v>0.06</v>
      </c>
    </row>
    <row r="420" spans="1:7" x14ac:dyDescent="0.3">
      <c r="A420" s="326" t="s">
        <v>1392</v>
      </c>
      <c r="B420" s="325">
        <v>15325</v>
      </c>
      <c r="C420" s="325">
        <v>0.25</v>
      </c>
      <c r="D420" s="325">
        <v>0.25</v>
      </c>
      <c r="E420" s="325" t="s">
        <v>747</v>
      </c>
      <c r="F420" s="325">
        <v>0.16</v>
      </c>
      <c r="G420" s="324">
        <v>0.08</v>
      </c>
    </row>
    <row r="421" spans="1:7" x14ac:dyDescent="0.3">
      <c r="A421" s="326" t="s">
        <v>1391</v>
      </c>
      <c r="B421" s="325">
        <v>15332</v>
      </c>
      <c r="C421" s="325">
        <v>0.3</v>
      </c>
      <c r="D421" s="325">
        <v>0.3</v>
      </c>
      <c r="E421" s="325" t="s">
        <v>747</v>
      </c>
      <c r="F421" s="325">
        <v>0.16</v>
      </c>
      <c r="G421" s="324">
        <v>0.08</v>
      </c>
    </row>
    <row r="422" spans="1:7" x14ac:dyDescent="0.3">
      <c r="A422" s="326" t="s">
        <v>1390</v>
      </c>
      <c r="B422" s="325">
        <v>25339</v>
      </c>
      <c r="C422" s="325">
        <v>0.25</v>
      </c>
      <c r="D422" s="325">
        <v>0.25</v>
      </c>
      <c r="E422" s="325" t="s">
        <v>747</v>
      </c>
      <c r="F422" s="325">
        <v>0.16</v>
      </c>
      <c r="G422" s="324">
        <v>0.06</v>
      </c>
    </row>
    <row r="423" spans="1:7" x14ac:dyDescent="0.3">
      <c r="A423" s="326" t="s">
        <v>1389</v>
      </c>
      <c r="B423" s="325">
        <v>54344</v>
      </c>
      <c r="C423" s="325">
        <v>0.25</v>
      </c>
      <c r="D423" s="325">
        <v>0.2</v>
      </c>
      <c r="E423" s="325" t="s">
        <v>747</v>
      </c>
      <c r="F423" s="325">
        <v>0.06</v>
      </c>
      <c r="G423" s="324">
        <v>0.03</v>
      </c>
    </row>
    <row r="424" spans="1:7" x14ac:dyDescent="0.3">
      <c r="A424" s="326" t="s">
        <v>1388</v>
      </c>
      <c r="B424" s="325">
        <v>13300</v>
      </c>
      <c r="C424" s="325">
        <v>0.15</v>
      </c>
      <c r="D424" s="325">
        <v>0.1</v>
      </c>
      <c r="E424" s="325" t="s">
        <v>719</v>
      </c>
      <c r="F424" s="325">
        <v>0.05</v>
      </c>
      <c r="G424" s="324">
        <v>0.03</v>
      </c>
    </row>
    <row r="425" spans="1:7" x14ac:dyDescent="0.3">
      <c r="A425" s="326" t="s">
        <v>1387</v>
      </c>
      <c r="B425" s="325">
        <v>68344</v>
      </c>
      <c r="C425" s="325">
        <v>0.15</v>
      </c>
      <c r="D425" s="325">
        <v>0.2</v>
      </c>
      <c r="E425" s="325" t="s">
        <v>719</v>
      </c>
      <c r="F425" s="325">
        <v>0.21</v>
      </c>
      <c r="G425" s="324">
        <v>0.1</v>
      </c>
    </row>
    <row r="426" spans="1:7" x14ac:dyDescent="0.3">
      <c r="A426" s="326" t="s">
        <v>1386</v>
      </c>
      <c r="B426" s="325">
        <v>85125</v>
      </c>
      <c r="C426" s="325">
        <v>0.15</v>
      </c>
      <c r="D426" s="325">
        <v>0.15</v>
      </c>
      <c r="E426" s="325" t="s">
        <v>719</v>
      </c>
      <c r="F426" s="325">
        <v>0.08</v>
      </c>
      <c r="G426" s="324">
        <v>0.04</v>
      </c>
    </row>
    <row r="427" spans="1:7" x14ac:dyDescent="0.3">
      <c r="A427" s="326" t="s">
        <v>1385</v>
      </c>
      <c r="B427" s="325">
        <v>44378</v>
      </c>
      <c r="C427" s="325">
        <v>0.15</v>
      </c>
      <c r="D427" s="325">
        <v>0.1</v>
      </c>
      <c r="E427" s="325" t="s">
        <v>719</v>
      </c>
      <c r="F427" s="325">
        <v>0.08</v>
      </c>
      <c r="G427" s="324">
        <v>0.04</v>
      </c>
    </row>
    <row r="428" spans="1:7" x14ac:dyDescent="0.3">
      <c r="A428" s="326" t="s">
        <v>1384</v>
      </c>
      <c r="B428" s="325">
        <v>5347</v>
      </c>
      <c r="C428" s="325">
        <v>0.15</v>
      </c>
      <c r="D428" s="325">
        <v>0.25</v>
      </c>
      <c r="E428" s="325" t="s">
        <v>747</v>
      </c>
      <c r="F428" s="325">
        <v>0.16</v>
      </c>
      <c r="G428" s="324">
        <v>0.08</v>
      </c>
    </row>
    <row r="429" spans="1:7" x14ac:dyDescent="0.3">
      <c r="A429" s="326" t="s">
        <v>1383</v>
      </c>
      <c r="B429" s="325">
        <v>54347</v>
      </c>
      <c r="C429" s="325">
        <v>0.35</v>
      </c>
      <c r="D429" s="325">
        <v>0.3</v>
      </c>
      <c r="E429" s="325" t="s">
        <v>747</v>
      </c>
      <c r="F429" s="325">
        <v>0.19</v>
      </c>
      <c r="G429" s="324">
        <v>0.08</v>
      </c>
    </row>
    <row r="430" spans="1:7" x14ac:dyDescent="0.3">
      <c r="A430" s="326" t="s">
        <v>1382</v>
      </c>
      <c r="B430" s="325">
        <v>73347</v>
      </c>
      <c r="C430" s="325">
        <v>0.2</v>
      </c>
      <c r="D430" s="325">
        <v>0.2</v>
      </c>
      <c r="E430" s="325" t="s">
        <v>719</v>
      </c>
      <c r="F430" s="325">
        <v>0.16</v>
      </c>
      <c r="G430" s="324">
        <v>0.08</v>
      </c>
    </row>
    <row r="431" spans="1:7" x14ac:dyDescent="0.3">
      <c r="A431" s="326" t="s">
        <v>1381</v>
      </c>
      <c r="B431" s="325">
        <v>5353</v>
      </c>
      <c r="C431" s="325">
        <v>0.25</v>
      </c>
      <c r="D431" s="325">
        <v>0.3</v>
      </c>
      <c r="E431" s="325" t="s">
        <v>747</v>
      </c>
      <c r="F431" s="325">
        <v>0.16</v>
      </c>
      <c r="G431" s="324">
        <v>0.1</v>
      </c>
    </row>
    <row r="432" spans="1:7" x14ac:dyDescent="0.3">
      <c r="A432" s="326" t="s">
        <v>1380</v>
      </c>
      <c r="B432" s="325">
        <v>41349</v>
      </c>
      <c r="C432" s="325">
        <v>0.3</v>
      </c>
      <c r="D432" s="325">
        <v>0.2</v>
      </c>
      <c r="E432" s="325" t="s">
        <v>747</v>
      </c>
      <c r="F432" s="325">
        <v>0.2</v>
      </c>
      <c r="G432" s="324">
        <v>0.08</v>
      </c>
    </row>
    <row r="433" spans="1:7" x14ac:dyDescent="0.3">
      <c r="A433" s="326" t="s">
        <v>1379</v>
      </c>
      <c r="B433" s="325">
        <v>73349</v>
      </c>
      <c r="C433" s="325">
        <v>0.2</v>
      </c>
      <c r="D433" s="325">
        <v>0.2</v>
      </c>
      <c r="E433" s="325" t="s">
        <v>719</v>
      </c>
      <c r="F433" s="325">
        <v>0.1</v>
      </c>
      <c r="G433" s="324">
        <v>0.06</v>
      </c>
    </row>
    <row r="434" spans="1:7" x14ac:dyDescent="0.3">
      <c r="A434" s="326" t="s">
        <v>1378</v>
      </c>
      <c r="B434" s="325">
        <v>73001</v>
      </c>
      <c r="C434" s="325">
        <v>0.2</v>
      </c>
      <c r="D434" s="325">
        <v>0.2</v>
      </c>
      <c r="E434" s="325" t="s">
        <v>719</v>
      </c>
      <c r="F434" s="325">
        <v>0.15</v>
      </c>
      <c r="G434" s="324">
        <v>0.08</v>
      </c>
    </row>
    <row r="435" spans="1:7" x14ac:dyDescent="0.3">
      <c r="A435" s="326" t="s">
        <v>1377</v>
      </c>
      <c r="B435" s="325">
        <v>73352</v>
      </c>
      <c r="C435" s="325">
        <v>0.2</v>
      </c>
      <c r="D435" s="325">
        <v>0.2</v>
      </c>
      <c r="E435" s="325" t="s">
        <v>719</v>
      </c>
      <c r="F435" s="325">
        <v>0.08</v>
      </c>
      <c r="G435" s="324">
        <v>0.05</v>
      </c>
    </row>
    <row r="436" spans="1:7" x14ac:dyDescent="0.3">
      <c r="A436" s="326" t="s">
        <v>1376</v>
      </c>
      <c r="B436" s="325">
        <v>52352</v>
      </c>
      <c r="C436" s="325">
        <v>0.25</v>
      </c>
      <c r="D436" s="325">
        <v>0.25</v>
      </c>
      <c r="E436" s="325" t="s">
        <v>747</v>
      </c>
      <c r="F436" s="325">
        <v>0.11</v>
      </c>
      <c r="G436" s="324">
        <v>7.0000000000000007E-2</v>
      </c>
    </row>
    <row r="437" spans="1:7" x14ac:dyDescent="0.3">
      <c r="A437" s="326" t="s">
        <v>1375</v>
      </c>
      <c r="B437" s="325">
        <v>52354</v>
      </c>
      <c r="C437" s="325">
        <v>0.25</v>
      </c>
      <c r="D437" s="325">
        <v>0.25</v>
      </c>
      <c r="E437" s="325" t="s">
        <v>747</v>
      </c>
      <c r="F437" s="325">
        <v>0.11</v>
      </c>
      <c r="G437" s="324">
        <v>7.0000000000000007E-2</v>
      </c>
    </row>
    <row r="438" spans="1:7" x14ac:dyDescent="0.3">
      <c r="A438" s="326" t="s">
        <v>1374</v>
      </c>
      <c r="B438" s="325">
        <v>19355</v>
      </c>
      <c r="C438" s="325">
        <v>0.25</v>
      </c>
      <c r="D438" s="325">
        <v>0.2</v>
      </c>
      <c r="E438" s="325" t="s">
        <v>747</v>
      </c>
      <c r="F438" s="325">
        <v>0.12</v>
      </c>
      <c r="G438" s="324">
        <v>0.06</v>
      </c>
    </row>
    <row r="439" spans="1:7" x14ac:dyDescent="0.3">
      <c r="A439" s="326" t="s">
        <v>1373</v>
      </c>
      <c r="B439" s="325">
        <v>52356</v>
      </c>
      <c r="C439" s="325">
        <v>0.3</v>
      </c>
      <c r="D439" s="325">
        <v>0.25</v>
      </c>
      <c r="E439" s="325" t="s">
        <v>747</v>
      </c>
      <c r="F439" s="325">
        <v>0.16</v>
      </c>
      <c r="G439" s="324">
        <v>0.08</v>
      </c>
    </row>
    <row r="440" spans="1:7" x14ac:dyDescent="0.3">
      <c r="A440" s="326" t="s">
        <v>1372</v>
      </c>
      <c r="B440" s="325">
        <v>41357</v>
      </c>
      <c r="C440" s="325">
        <v>0.25</v>
      </c>
      <c r="D440" s="325">
        <v>0.2</v>
      </c>
      <c r="E440" s="325" t="s">
        <v>747</v>
      </c>
      <c r="F440" s="325">
        <v>0.16</v>
      </c>
      <c r="G440" s="324">
        <v>0.06</v>
      </c>
    </row>
    <row r="441" spans="1:7" x14ac:dyDescent="0.3">
      <c r="A441" s="326" t="s">
        <v>1371</v>
      </c>
      <c r="B441" s="325">
        <v>41359</v>
      </c>
      <c r="C441" s="325">
        <v>0.25</v>
      </c>
      <c r="D441" s="325">
        <v>0.2</v>
      </c>
      <c r="E441" s="325" t="s">
        <v>747</v>
      </c>
      <c r="F441" s="325">
        <v>0.19</v>
      </c>
      <c r="G441" s="324">
        <v>7.0000000000000007E-2</v>
      </c>
    </row>
    <row r="442" spans="1:7" x14ac:dyDescent="0.3">
      <c r="A442" s="326" t="s">
        <v>1370</v>
      </c>
      <c r="B442" s="325">
        <v>5360</v>
      </c>
      <c r="C442" s="325">
        <v>0.15</v>
      </c>
      <c r="D442" s="325">
        <v>0.2</v>
      </c>
      <c r="E442" s="325" t="s">
        <v>719</v>
      </c>
      <c r="F442" s="325">
        <v>0.14000000000000001</v>
      </c>
      <c r="G442" s="324">
        <v>0.08</v>
      </c>
    </row>
    <row r="443" spans="1:7" x14ac:dyDescent="0.3">
      <c r="A443" s="326" t="s">
        <v>1369</v>
      </c>
      <c r="B443" s="325">
        <v>27361</v>
      </c>
      <c r="C443" s="325">
        <v>0.4</v>
      </c>
      <c r="D443" s="325">
        <v>0.4</v>
      </c>
      <c r="E443" s="325" t="s">
        <v>747</v>
      </c>
      <c r="F443" s="325">
        <v>0.23</v>
      </c>
      <c r="G443" s="324">
        <v>0.1</v>
      </c>
    </row>
    <row r="444" spans="1:7" x14ac:dyDescent="0.3">
      <c r="A444" s="326" t="s">
        <v>1368</v>
      </c>
      <c r="B444" s="325">
        <v>5361</v>
      </c>
      <c r="C444" s="325">
        <v>0.2</v>
      </c>
      <c r="D444" s="325">
        <v>0.2</v>
      </c>
      <c r="E444" s="325" t="s">
        <v>719</v>
      </c>
      <c r="F444" s="325">
        <v>0.09</v>
      </c>
      <c r="G444" s="324">
        <v>0.05</v>
      </c>
    </row>
    <row r="445" spans="1:7" x14ac:dyDescent="0.3">
      <c r="A445" s="326" t="s">
        <v>1367</v>
      </c>
      <c r="B445" s="325">
        <v>15362</v>
      </c>
      <c r="C445" s="325">
        <v>0.2</v>
      </c>
      <c r="D445" s="325">
        <v>0.25</v>
      </c>
      <c r="E445" s="325" t="s">
        <v>747</v>
      </c>
      <c r="F445" s="325">
        <v>0.16</v>
      </c>
      <c r="G445" s="324">
        <v>0.08</v>
      </c>
    </row>
    <row r="446" spans="1:7" x14ac:dyDescent="0.3">
      <c r="A446" s="326" t="s">
        <v>1366</v>
      </c>
      <c r="B446" s="325">
        <v>19364</v>
      </c>
      <c r="C446" s="325">
        <v>0.25</v>
      </c>
      <c r="D446" s="325">
        <v>0.2</v>
      </c>
      <c r="E446" s="325" t="s">
        <v>747</v>
      </c>
      <c r="F446" s="325">
        <v>0.11</v>
      </c>
      <c r="G446" s="324">
        <v>0.06</v>
      </c>
    </row>
    <row r="447" spans="1:7" x14ac:dyDescent="0.3">
      <c r="A447" s="326" t="s">
        <v>1365</v>
      </c>
      <c r="B447" s="325">
        <v>76364</v>
      </c>
      <c r="C447" s="325">
        <v>0.25</v>
      </c>
      <c r="D447" s="325">
        <v>0.25</v>
      </c>
      <c r="E447" s="325" t="s">
        <v>747</v>
      </c>
      <c r="F447" s="325">
        <v>0.16</v>
      </c>
      <c r="G447" s="324">
        <v>0.1</v>
      </c>
    </row>
    <row r="448" spans="1:7" x14ac:dyDescent="0.3">
      <c r="A448" s="326" t="s">
        <v>1364</v>
      </c>
      <c r="B448" s="325">
        <v>5364</v>
      </c>
      <c r="C448" s="325">
        <v>0.25</v>
      </c>
      <c r="D448" s="325">
        <v>0.3</v>
      </c>
      <c r="E448" s="325" t="s">
        <v>747</v>
      </c>
      <c r="F448" s="325">
        <v>0.2</v>
      </c>
      <c r="G448" s="324">
        <v>0.11</v>
      </c>
    </row>
    <row r="449" spans="1:7" x14ac:dyDescent="0.3">
      <c r="A449" s="326" t="s">
        <v>1363</v>
      </c>
      <c r="B449" s="325">
        <v>15367</v>
      </c>
      <c r="C449" s="325">
        <v>0.2</v>
      </c>
      <c r="D449" s="325">
        <v>0.25</v>
      </c>
      <c r="E449" s="325" t="s">
        <v>747</v>
      </c>
      <c r="F449" s="325">
        <v>0.15</v>
      </c>
      <c r="G449" s="324">
        <v>7.0000000000000007E-2</v>
      </c>
    </row>
    <row r="450" spans="1:7" x14ac:dyDescent="0.3">
      <c r="A450" s="326" t="s">
        <v>1362</v>
      </c>
      <c r="B450" s="325">
        <v>5368</v>
      </c>
      <c r="C450" s="325">
        <v>0.25</v>
      </c>
      <c r="D450" s="325">
        <v>0.25</v>
      </c>
      <c r="E450" s="325" t="s">
        <v>747</v>
      </c>
      <c r="F450" s="325">
        <v>0.18</v>
      </c>
      <c r="G450" s="324">
        <v>0.1</v>
      </c>
    </row>
    <row r="451" spans="1:7" x14ac:dyDescent="0.3">
      <c r="A451" s="326" t="s">
        <v>1362</v>
      </c>
      <c r="B451" s="325">
        <v>15368</v>
      </c>
      <c r="C451" s="325">
        <v>0.25</v>
      </c>
      <c r="D451" s="325">
        <v>0.25</v>
      </c>
      <c r="E451" s="325" t="s">
        <v>747</v>
      </c>
      <c r="F451" s="325">
        <v>0.16</v>
      </c>
      <c r="G451" s="324">
        <v>0.08</v>
      </c>
    </row>
    <row r="452" spans="1:7" x14ac:dyDescent="0.3">
      <c r="A452" s="326" t="s">
        <v>1361</v>
      </c>
      <c r="B452" s="325">
        <v>25368</v>
      </c>
      <c r="C452" s="325">
        <v>0.2</v>
      </c>
      <c r="D452" s="325">
        <v>0.2</v>
      </c>
      <c r="E452" s="325" t="s">
        <v>719</v>
      </c>
      <c r="F452" s="325">
        <v>0.16</v>
      </c>
      <c r="G452" s="324">
        <v>0.06</v>
      </c>
    </row>
    <row r="453" spans="1:7" x14ac:dyDescent="0.3">
      <c r="A453" s="326" t="s">
        <v>1360</v>
      </c>
      <c r="B453" s="325">
        <v>68368</v>
      </c>
      <c r="C453" s="325">
        <v>0.15</v>
      </c>
      <c r="D453" s="325">
        <v>0.15</v>
      </c>
      <c r="E453" s="325" t="s">
        <v>719</v>
      </c>
      <c r="F453" s="325">
        <v>0.1</v>
      </c>
      <c r="G453" s="324">
        <v>0.06</v>
      </c>
    </row>
    <row r="454" spans="1:7" x14ac:dyDescent="0.3">
      <c r="A454" s="326" t="s">
        <v>1359</v>
      </c>
      <c r="B454" s="325">
        <v>68370</v>
      </c>
      <c r="C454" s="325">
        <v>0.2</v>
      </c>
      <c r="D454" s="325">
        <v>0.25</v>
      </c>
      <c r="E454" s="325" t="s">
        <v>747</v>
      </c>
      <c r="F454" s="325">
        <v>0.1</v>
      </c>
      <c r="G454" s="324">
        <v>7.0000000000000007E-2</v>
      </c>
    </row>
    <row r="455" spans="1:7" x14ac:dyDescent="0.3">
      <c r="A455" s="326" t="s">
        <v>1358</v>
      </c>
      <c r="B455" s="325">
        <v>8372</v>
      </c>
      <c r="C455" s="325">
        <v>0.1</v>
      </c>
      <c r="D455" s="325">
        <v>0.1</v>
      </c>
      <c r="E455" s="325" t="s">
        <v>743</v>
      </c>
      <c r="F455" s="325">
        <v>0.04</v>
      </c>
      <c r="G455" s="324">
        <v>0.03</v>
      </c>
    </row>
    <row r="456" spans="1:7" x14ac:dyDescent="0.3">
      <c r="A456" s="326" t="s">
        <v>1357</v>
      </c>
      <c r="B456" s="325">
        <v>25372</v>
      </c>
      <c r="C456" s="325">
        <v>0.2</v>
      </c>
      <c r="D456" s="325">
        <v>0.25</v>
      </c>
      <c r="E456" s="325" t="s">
        <v>747</v>
      </c>
      <c r="F456" s="325">
        <v>0.16</v>
      </c>
      <c r="G456" s="324">
        <v>0.06</v>
      </c>
    </row>
    <row r="457" spans="1:7" x14ac:dyDescent="0.3">
      <c r="A457" s="326" t="s">
        <v>1356</v>
      </c>
      <c r="B457" s="325">
        <v>27372</v>
      </c>
      <c r="C457" s="325">
        <v>0.4</v>
      </c>
      <c r="D457" s="325">
        <v>0.4</v>
      </c>
      <c r="E457" s="325" t="s">
        <v>747</v>
      </c>
      <c r="F457" s="325">
        <v>0.24</v>
      </c>
      <c r="G457" s="324">
        <v>0.1</v>
      </c>
    </row>
    <row r="458" spans="1:7" x14ac:dyDescent="0.3">
      <c r="A458" s="326" t="s">
        <v>1355</v>
      </c>
      <c r="B458" s="325">
        <v>23350</v>
      </c>
      <c r="C458" s="325">
        <v>0.15</v>
      </c>
      <c r="D458" s="325">
        <v>0.2</v>
      </c>
      <c r="E458" s="325" t="s">
        <v>719</v>
      </c>
      <c r="F458" s="325">
        <v>0.08</v>
      </c>
      <c r="G458" s="324">
        <v>0.04</v>
      </c>
    </row>
    <row r="459" spans="1:7" x14ac:dyDescent="0.3">
      <c r="A459" s="326" t="s">
        <v>1354</v>
      </c>
      <c r="B459" s="325">
        <v>41378</v>
      </c>
      <c r="C459" s="325">
        <v>0.25</v>
      </c>
      <c r="D459" s="325">
        <v>0.15</v>
      </c>
      <c r="E459" s="325" t="s">
        <v>747</v>
      </c>
      <c r="F459" s="325">
        <v>0.19</v>
      </c>
      <c r="G459" s="324">
        <v>7.0000000000000007E-2</v>
      </c>
    </row>
    <row r="460" spans="1:7" x14ac:dyDescent="0.3">
      <c r="A460" s="326" t="s">
        <v>1353</v>
      </c>
      <c r="B460" s="325">
        <v>68377</v>
      </c>
      <c r="C460" s="325">
        <v>0.15</v>
      </c>
      <c r="D460" s="325">
        <v>0.15</v>
      </c>
      <c r="E460" s="325" t="s">
        <v>719</v>
      </c>
      <c r="F460" s="325">
        <v>0.16</v>
      </c>
      <c r="G460" s="324">
        <v>7.0000000000000007E-2</v>
      </c>
    </row>
    <row r="461" spans="1:7" x14ac:dyDescent="0.3">
      <c r="A461" s="326" t="s">
        <v>1352</v>
      </c>
      <c r="B461" s="325">
        <v>25377</v>
      </c>
      <c r="C461" s="325">
        <v>0.15</v>
      </c>
      <c r="D461" s="325">
        <v>0.25</v>
      </c>
      <c r="E461" s="325" t="s">
        <v>747</v>
      </c>
      <c r="F461" s="325">
        <v>0.11</v>
      </c>
      <c r="G461" s="324">
        <v>0.05</v>
      </c>
    </row>
    <row r="462" spans="1:7" x14ac:dyDescent="0.3">
      <c r="A462" s="326" t="s">
        <v>1351</v>
      </c>
      <c r="B462" s="325">
        <v>15380</v>
      </c>
      <c r="C462" s="325">
        <v>0.2</v>
      </c>
      <c r="D462" s="325">
        <v>0.25</v>
      </c>
      <c r="E462" s="325" t="s">
        <v>747</v>
      </c>
      <c r="F462" s="325">
        <v>0.16</v>
      </c>
      <c r="G462" s="324">
        <v>7.0000000000000007E-2</v>
      </c>
    </row>
    <row r="463" spans="1:7" x14ac:dyDescent="0.3">
      <c r="A463" s="326" t="s">
        <v>1350</v>
      </c>
      <c r="B463" s="325">
        <v>5376</v>
      </c>
      <c r="C463" s="325">
        <v>0.15</v>
      </c>
      <c r="D463" s="325">
        <v>0.2</v>
      </c>
      <c r="E463" s="325" t="s">
        <v>719</v>
      </c>
      <c r="F463" s="325">
        <v>0.13</v>
      </c>
      <c r="G463" s="324">
        <v>7.0000000000000007E-2</v>
      </c>
    </row>
    <row r="464" spans="1:7" x14ac:dyDescent="0.3">
      <c r="A464" s="326" t="s">
        <v>1349</v>
      </c>
      <c r="B464" s="325">
        <v>66383</v>
      </c>
      <c r="C464" s="325">
        <v>0.3</v>
      </c>
      <c r="D464" s="325">
        <v>0.3</v>
      </c>
      <c r="E464" s="325" t="s">
        <v>747</v>
      </c>
      <c r="F464" s="325">
        <v>0.2</v>
      </c>
      <c r="G464" s="324">
        <v>0.1</v>
      </c>
    </row>
    <row r="465" spans="1:7" x14ac:dyDescent="0.3">
      <c r="A465" s="326" t="s">
        <v>1348</v>
      </c>
      <c r="B465" s="325">
        <v>91405</v>
      </c>
      <c r="C465" s="325">
        <v>0.05</v>
      </c>
      <c r="D465" s="325">
        <v>0.05</v>
      </c>
      <c r="E465" s="325" t="s">
        <v>743</v>
      </c>
      <c r="F465" s="325">
        <v>0.04</v>
      </c>
      <c r="G465" s="324">
        <v>0.02</v>
      </c>
    </row>
    <row r="466" spans="1:7" x14ac:dyDescent="0.3">
      <c r="A466" s="326" t="s">
        <v>1347</v>
      </c>
      <c r="B466" s="325">
        <v>52378</v>
      </c>
      <c r="C466" s="325">
        <v>0.25</v>
      </c>
      <c r="D466" s="325">
        <v>0.25</v>
      </c>
      <c r="E466" s="325" t="s">
        <v>747</v>
      </c>
      <c r="F466" s="325">
        <v>0.16</v>
      </c>
      <c r="G466" s="324">
        <v>0.08</v>
      </c>
    </row>
    <row r="467" spans="1:7" x14ac:dyDescent="0.3">
      <c r="A467" s="326" t="s">
        <v>1346</v>
      </c>
      <c r="B467" s="325">
        <v>76377</v>
      </c>
      <c r="C467" s="325">
        <v>0.25</v>
      </c>
      <c r="D467" s="325">
        <v>0.25</v>
      </c>
      <c r="E467" s="325" t="s">
        <v>747</v>
      </c>
      <c r="F467" s="325">
        <v>0.11</v>
      </c>
      <c r="G467" s="324">
        <v>0.08</v>
      </c>
    </row>
    <row r="468" spans="1:7" x14ac:dyDescent="0.3">
      <c r="A468" s="326" t="s">
        <v>1345</v>
      </c>
      <c r="B468" s="325">
        <v>17380</v>
      </c>
      <c r="C468" s="325">
        <v>0.15</v>
      </c>
      <c r="D468" s="325">
        <v>0.2</v>
      </c>
      <c r="E468" s="325" t="s">
        <v>719</v>
      </c>
      <c r="F468" s="325">
        <v>0.11</v>
      </c>
      <c r="G468" s="324">
        <v>0.06</v>
      </c>
    </row>
    <row r="469" spans="1:7" x14ac:dyDescent="0.3">
      <c r="A469" s="326" t="s">
        <v>1344</v>
      </c>
      <c r="B469" s="325">
        <v>54385</v>
      </c>
      <c r="C469" s="325">
        <v>0.2</v>
      </c>
      <c r="D469" s="325">
        <v>0.2</v>
      </c>
      <c r="E469" s="325" t="s">
        <v>719</v>
      </c>
      <c r="F469" s="325">
        <v>0.05</v>
      </c>
      <c r="G469" s="324">
        <v>0.03</v>
      </c>
    </row>
    <row r="470" spans="1:7" x14ac:dyDescent="0.3">
      <c r="A470" s="326" t="s">
        <v>1343</v>
      </c>
      <c r="B470" s="325">
        <v>5380</v>
      </c>
      <c r="C470" s="325">
        <v>0.15</v>
      </c>
      <c r="D470" s="325">
        <v>0.25</v>
      </c>
      <c r="E470" s="325" t="s">
        <v>747</v>
      </c>
      <c r="F470" s="325">
        <v>0.15</v>
      </c>
      <c r="G470" s="324">
        <v>0.08</v>
      </c>
    </row>
    <row r="471" spans="1:7" x14ac:dyDescent="0.3">
      <c r="A471" s="326" t="s">
        <v>1342</v>
      </c>
      <c r="B471" s="325">
        <v>52381</v>
      </c>
      <c r="C471" s="325">
        <v>0.25</v>
      </c>
      <c r="D471" s="325">
        <v>0.25</v>
      </c>
      <c r="E471" s="325" t="s">
        <v>747</v>
      </c>
      <c r="F471" s="325">
        <v>0.12</v>
      </c>
      <c r="G471" s="324">
        <v>7.0000000000000007E-2</v>
      </c>
    </row>
    <row r="472" spans="1:7" x14ac:dyDescent="0.3">
      <c r="A472" s="326" t="s">
        <v>1341</v>
      </c>
      <c r="B472" s="325">
        <v>20383</v>
      </c>
      <c r="C472" s="325">
        <v>0.15</v>
      </c>
      <c r="D472" s="325">
        <v>0.15</v>
      </c>
      <c r="E472" s="325" t="s">
        <v>719</v>
      </c>
      <c r="F472" s="325">
        <v>0.08</v>
      </c>
      <c r="G472" s="324">
        <v>0.04</v>
      </c>
    </row>
    <row r="473" spans="1:7" x14ac:dyDescent="0.3">
      <c r="A473" s="326" t="s">
        <v>1340</v>
      </c>
      <c r="B473" s="325">
        <v>94885</v>
      </c>
      <c r="C473" s="325">
        <v>0.05</v>
      </c>
      <c r="D473" s="325">
        <v>0.05</v>
      </c>
      <c r="E473" s="325" t="s">
        <v>743</v>
      </c>
      <c r="F473" s="325">
        <v>0.04</v>
      </c>
      <c r="G473" s="324">
        <v>0.02</v>
      </c>
    </row>
    <row r="474" spans="1:7" x14ac:dyDescent="0.3">
      <c r="A474" s="326" t="s">
        <v>1339</v>
      </c>
      <c r="B474" s="325">
        <v>20400</v>
      </c>
      <c r="C474" s="325">
        <v>0.1</v>
      </c>
      <c r="D474" s="325">
        <v>0.1</v>
      </c>
      <c r="E474" s="325" t="s">
        <v>743</v>
      </c>
      <c r="F474" s="325">
        <v>0.08</v>
      </c>
      <c r="G474" s="324">
        <v>0.04</v>
      </c>
    </row>
    <row r="475" spans="1:7" x14ac:dyDescent="0.3">
      <c r="A475" s="326" t="s">
        <v>1338</v>
      </c>
      <c r="B475" s="325">
        <v>44420</v>
      </c>
      <c r="C475" s="325">
        <v>0.1</v>
      </c>
      <c r="D475" s="325">
        <v>0.1</v>
      </c>
      <c r="E475" s="325" t="s">
        <v>743</v>
      </c>
      <c r="F475" s="325">
        <v>0.05</v>
      </c>
      <c r="G475" s="324">
        <v>0.03</v>
      </c>
    </row>
    <row r="476" spans="1:7" x14ac:dyDescent="0.3">
      <c r="A476" s="326" t="s">
        <v>1337</v>
      </c>
      <c r="B476" s="325">
        <v>52385</v>
      </c>
      <c r="C476" s="325">
        <v>0.3</v>
      </c>
      <c r="D476" s="325">
        <v>0.3</v>
      </c>
      <c r="E476" s="325" t="s">
        <v>747</v>
      </c>
      <c r="F476" s="325">
        <v>0.11</v>
      </c>
      <c r="G476" s="324">
        <v>7.0000000000000007E-2</v>
      </c>
    </row>
    <row r="477" spans="1:7" x14ac:dyDescent="0.3">
      <c r="A477" s="326" t="s">
        <v>1336</v>
      </c>
      <c r="B477" s="325">
        <v>50350</v>
      </c>
      <c r="C477" s="325">
        <v>0.05</v>
      </c>
      <c r="D477" s="325">
        <v>0.1</v>
      </c>
      <c r="E477" s="325" t="s">
        <v>743</v>
      </c>
      <c r="F477" s="325">
        <v>0.03</v>
      </c>
      <c r="G477" s="324">
        <v>0.02</v>
      </c>
    </row>
    <row r="478" spans="1:7" x14ac:dyDescent="0.3">
      <c r="A478" s="326" t="s">
        <v>1335</v>
      </c>
      <c r="B478" s="325">
        <v>17388</v>
      </c>
      <c r="C478" s="325">
        <v>0.25</v>
      </c>
      <c r="D478" s="325">
        <v>0.25</v>
      </c>
      <c r="E478" s="325" t="s">
        <v>747</v>
      </c>
      <c r="F478" s="325">
        <v>0.21</v>
      </c>
      <c r="G478" s="324">
        <v>0.1</v>
      </c>
    </row>
    <row r="479" spans="1:7" x14ac:dyDescent="0.3">
      <c r="A479" s="326" t="s">
        <v>1334</v>
      </c>
      <c r="B479" s="325">
        <v>25386</v>
      </c>
      <c r="C479" s="325">
        <v>0.15</v>
      </c>
      <c r="D479" s="325">
        <v>0.2</v>
      </c>
      <c r="E479" s="325" t="s">
        <v>719</v>
      </c>
      <c r="F479" s="325">
        <v>0.14000000000000001</v>
      </c>
      <c r="G479" s="324">
        <v>0.06</v>
      </c>
    </row>
    <row r="480" spans="1:7" x14ac:dyDescent="0.3">
      <c r="A480" s="326" t="s">
        <v>1333</v>
      </c>
      <c r="B480" s="325">
        <v>18410</v>
      </c>
      <c r="C480" s="325">
        <v>0.1</v>
      </c>
      <c r="D480" s="325">
        <v>0.15</v>
      </c>
      <c r="E480" s="325" t="s">
        <v>719</v>
      </c>
      <c r="F480" s="325">
        <v>0.05</v>
      </c>
      <c r="G480" s="324">
        <v>0.03</v>
      </c>
    </row>
    <row r="481" spans="1:7" x14ac:dyDescent="0.3">
      <c r="A481" s="326" t="s">
        <v>1332</v>
      </c>
      <c r="B481" s="325">
        <v>25394</v>
      </c>
      <c r="C481" s="325">
        <v>0.15</v>
      </c>
      <c r="D481" s="325">
        <v>0.2</v>
      </c>
      <c r="E481" s="325" t="s">
        <v>719</v>
      </c>
      <c r="F481" s="325">
        <v>0.16</v>
      </c>
      <c r="G481" s="324">
        <v>0.06</v>
      </c>
    </row>
    <row r="482" spans="1:7" x14ac:dyDescent="0.3">
      <c r="A482" s="326" t="s">
        <v>1331</v>
      </c>
      <c r="B482" s="325">
        <v>20621</v>
      </c>
      <c r="C482" s="325">
        <v>0.1</v>
      </c>
      <c r="D482" s="325">
        <v>0.1</v>
      </c>
      <c r="E482" s="325" t="s">
        <v>743</v>
      </c>
      <c r="F482" s="325">
        <v>0.06</v>
      </c>
      <c r="G482" s="324">
        <v>0.03</v>
      </c>
    </row>
    <row r="483" spans="1:7" x14ac:dyDescent="0.3">
      <c r="A483" s="326" t="s">
        <v>1331</v>
      </c>
      <c r="B483" s="325">
        <v>68397</v>
      </c>
      <c r="C483" s="325">
        <v>0.15</v>
      </c>
      <c r="D483" s="325">
        <v>0.15</v>
      </c>
      <c r="E483" s="325" t="s">
        <v>719</v>
      </c>
      <c r="F483" s="325">
        <v>0.14000000000000001</v>
      </c>
      <c r="G483" s="324">
        <v>0.09</v>
      </c>
    </row>
    <row r="484" spans="1:7" x14ac:dyDescent="0.3">
      <c r="A484" s="326" t="s">
        <v>1330</v>
      </c>
      <c r="B484" s="325">
        <v>91407</v>
      </c>
      <c r="C484" s="325">
        <v>0.05</v>
      </c>
      <c r="D484" s="325">
        <v>0.05</v>
      </c>
      <c r="E484" s="325" t="s">
        <v>743</v>
      </c>
      <c r="F484" s="325">
        <v>0.04</v>
      </c>
      <c r="G484" s="324">
        <v>0.02</v>
      </c>
    </row>
    <row r="485" spans="1:7" x14ac:dyDescent="0.3">
      <c r="A485" s="326" t="s">
        <v>1329</v>
      </c>
      <c r="B485" s="325">
        <v>25398</v>
      </c>
      <c r="C485" s="325">
        <v>0.15</v>
      </c>
      <c r="D485" s="325">
        <v>0.2</v>
      </c>
      <c r="E485" s="325" t="s">
        <v>719</v>
      </c>
      <c r="F485" s="325">
        <v>0.16</v>
      </c>
      <c r="G485" s="324">
        <v>0.06</v>
      </c>
    </row>
    <row r="486" spans="1:7" x14ac:dyDescent="0.3">
      <c r="A486" s="326" t="s">
        <v>1328</v>
      </c>
      <c r="B486" s="325">
        <v>5390</v>
      </c>
      <c r="C486" s="325">
        <v>0.25</v>
      </c>
      <c r="D486" s="325">
        <v>0.25</v>
      </c>
      <c r="E486" s="325" t="s">
        <v>747</v>
      </c>
      <c r="F486" s="325">
        <v>0.16</v>
      </c>
      <c r="G486" s="324">
        <v>0.09</v>
      </c>
    </row>
    <row r="487" spans="1:7" x14ac:dyDescent="0.3">
      <c r="A487" s="326" t="s">
        <v>1327</v>
      </c>
      <c r="B487" s="325">
        <v>41396</v>
      </c>
      <c r="C487" s="325">
        <v>0.25</v>
      </c>
      <c r="D487" s="325">
        <v>0.15</v>
      </c>
      <c r="E487" s="325" t="s">
        <v>747</v>
      </c>
      <c r="F487" s="325">
        <v>0.19</v>
      </c>
      <c r="G487" s="324">
        <v>7.0000000000000007E-2</v>
      </c>
    </row>
    <row r="488" spans="1:7" x14ac:dyDescent="0.3">
      <c r="A488" s="326" t="s">
        <v>1326</v>
      </c>
      <c r="B488" s="325">
        <v>54398</v>
      </c>
      <c r="C488" s="325">
        <v>0.2</v>
      </c>
      <c r="D488" s="325">
        <v>0.15</v>
      </c>
      <c r="E488" s="325" t="s">
        <v>719</v>
      </c>
      <c r="F488" s="325">
        <v>0.06</v>
      </c>
      <c r="G488" s="324">
        <v>0.03</v>
      </c>
    </row>
    <row r="489" spans="1:7" x14ac:dyDescent="0.3">
      <c r="A489" s="326" t="s">
        <v>1325</v>
      </c>
      <c r="B489" s="325">
        <v>99524</v>
      </c>
      <c r="C489" s="325">
        <v>0.05</v>
      </c>
      <c r="D489" s="325">
        <v>0.05</v>
      </c>
      <c r="E489" s="325" t="s">
        <v>743</v>
      </c>
      <c r="F489" s="325">
        <v>0.04</v>
      </c>
      <c r="G489" s="324">
        <v>0.02</v>
      </c>
    </row>
    <row r="490" spans="1:7" x14ac:dyDescent="0.3">
      <c r="A490" s="326" t="s">
        <v>1324</v>
      </c>
      <c r="B490" s="325">
        <v>85136</v>
      </c>
      <c r="C490" s="325">
        <v>0.3</v>
      </c>
      <c r="D490" s="325">
        <v>0.3</v>
      </c>
      <c r="E490" s="325" t="s">
        <v>747</v>
      </c>
      <c r="F490" s="325">
        <v>0.16</v>
      </c>
      <c r="G490" s="324">
        <v>0.08</v>
      </c>
    </row>
    <row r="491" spans="1:7" x14ac:dyDescent="0.3">
      <c r="A491" s="326" t="s">
        <v>1323</v>
      </c>
      <c r="B491" s="325">
        <v>19392</v>
      </c>
      <c r="C491" s="325">
        <v>0.25</v>
      </c>
      <c r="D491" s="325">
        <v>0.2</v>
      </c>
      <c r="E491" s="325" t="s">
        <v>747</v>
      </c>
      <c r="F491" s="325">
        <v>0.16</v>
      </c>
      <c r="G491" s="324">
        <v>0.08</v>
      </c>
    </row>
    <row r="492" spans="1:7" x14ac:dyDescent="0.3">
      <c r="A492" s="326" t="s">
        <v>1322</v>
      </c>
      <c r="B492" s="325">
        <v>63401</v>
      </c>
      <c r="C492" s="325">
        <v>0.25</v>
      </c>
      <c r="D492" s="325">
        <v>0.25</v>
      </c>
      <c r="E492" s="325" t="s">
        <v>747</v>
      </c>
      <c r="F492" s="325">
        <v>0.18</v>
      </c>
      <c r="G492" s="324">
        <v>0.09</v>
      </c>
    </row>
    <row r="493" spans="1:7" x14ac:dyDescent="0.3">
      <c r="A493" s="326" t="s">
        <v>1321</v>
      </c>
      <c r="B493" s="325">
        <v>52390</v>
      </c>
      <c r="C493" s="325">
        <v>0.5</v>
      </c>
      <c r="D493" s="325">
        <v>0.4</v>
      </c>
      <c r="E493" s="325" t="s">
        <v>747</v>
      </c>
      <c r="F493" s="325">
        <v>0.16</v>
      </c>
      <c r="G493" s="324">
        <v>0.08</v>
      </c>
    </row>
    <row r="494" spans="1:7" x14ac:dyDescent="0.3">
      <c r="A494" s="326" t="s">
        <v>1320</v>
      </c>
      <c r="B494" s="325">
        <v>52399</v>
      </c>
      <c r="C494" s="325">
        <v>0.25</v>
      </c>
      <c r="D494" s="325">
        <v>0.25</v>
      </c>
      <c r="E494" s="325" t="s">
        <v>747</v>
      </c>
      <c r="F494" s="325">
        <v>0.12</v>
      </c>
      <c r="G494" s="324">
        <v>7.0000000000000007E-2</v>
      </c>
    </row>
    <row r="495" spans="1:7" x14ac:dyDescent="0.3">
      <c r="A495" s="326" t="s">
        <v>1320</v>
      </c>
      <c r="B495" s="325">
        <v>76400</v>
      </c>
      <c r="C495" s="325">
        <v>0.25</v>
      </c>
      <c r="D495" s="325">
        <v>0.25</v>
      </c>
      <c r="E495" s="325" t="s">
        <v>747</v>
      </c>
      <c r="F495" s="325">
        <v>0.16</v>
      </c>
      <c r="G495" s="324">
        <v>0.13</v>
      </c>
    </row>
    <row r="496" spans="1:7" x14ac:dyDescent="0.3">
      <c r="A496" s="326" t="s">
        <v>1320</v>
      </c>
      <c r="B496" s="325">
        <v>5400</v>
      </c>
      <c r="C496" s="325">
        <v>0.15</v>
      </c>
      <c r="D496" s="325">
        <v>0.2</v>
      </c>
      <c r="E496" s="325" t="s">
        <v>719</v>
      </c>
      <c r="F496" s="325">
        <v>0.12</v>
      </c>
      <c r="G496" s="324">
        <v>0.06</v>
      </c>
    </row>
    <row r="497" spans="1:7" x14ac:dyDescent="0.3">
      <c r="A497" s="326" t="s">
        <v>1320</v>
      </c>
      <c r="B497" s="325">
        <v>70400</v>
      </c>
      <c r="C497" s="325">
        <v>0.15</v>
      </c>
      <c r="D497" s="325">
        <v>0.15</v>
      </c>
      <c r="E497" s="325" t="s">
        <v>719</v>
      </c>
      <c r="F497" s="325">
        <v>0.05</v>
      </c>
      <c r="G497" s="324">
        <v>0.04</v>
      </c>
    </row>
    <row r="498" spans="1:7" x14ac:dyDescent="0.3">
      <c r="A498" s="326" t="s">
        <v>1319</v>
      </c>
      <c r="B498" s="325">
        <v>50370</v>
      </c>
      <c r="C498" s="325">
        <v>0.25</v>
      </c>
      <c r="D498" s="325">
        <v>0.25</v>
      </c>
      <c r="E498" s="325" t="s">
        <v>747</v>
      </c>
      <c r="F498" s="325">
        <v>0.1</v>
      </c>
      <c r="G498" s="324">
        <v>0.04</v>
      </c>
    </row>
    <row r="499" spans="1:7" x14ac:dyDescent="0.3">
      <c r="A499" s="326" t="s">
        <v>1318</v>
      </c>
      <c r="B499" s="325">
        <v>15403</v>
      </c>
      <c r="C499" s="325">
        <v>0.25</v>
      </c>
      <c r="D499" s="325">
        <v>0.25</v>
      </c>
      <c r="E499" s="325" t="s">
        <v>747</v>
      </c>
      <c r="F499" s="325">
        <v>0.16</v>
      </c>
      <c r="G499" s="324">
        <v>0.08</v>
      </c>
    </row>
    <row r="500" spans="1:7" x14ac:dyDescent="0.3">
      <c r="A500" s="326" t="s">
        <v>1317</v>
      </c>
      <c r="B500" s="325">
        <v>19397</v>
      </c>
      <c r="C500" s="325">
        <v>0.25</v>
      </c>
      <c r="D500" s="325">
        <v>0.2</v>
      </c>
      <c r="E500" s="325" t="s">
        <v>747</v>
      </c>
      <c r="F500" s="325">
        <v>0.16</v>
      </c>
      <c r="G500" s="324">
        <v>7.0000000000000007E-2</v>
      </c>
    </row>
    <row r="501" spans="1:7" x14ac:dyDescent="0.3">
      <c r="A501" s="326" t="s">
        <v>1317</v>
      </c>
      <c r="B501" s="325">
        <v>25402</v>
      </c>
      <c r="C501" s="325">
        <v>0.15</v>
      </c>
      <c r="D501" s="325">
        <v>0.2</v>
      </c>
      <c r="E501" s="325" t="s">
        <v>719</v>
      </c>
      <c r="F501" s="325">
        <v>0.12</v>
      </c>
      <c r="G501" s="324">
        <v>0.06</v>
      </c>
    </row>
    <row r="502" spans="1:7" x14ac:dyDescent="0.3">
      <c r="A502" s="326" t="s">
        <v>1316</v>
      </c>
      <c r="B502" s="325">
        <v>76403</v>
      </c>
      <c r="C502" s="325">
        <v>0.25</v>
      </c>
      <c r="D502" s="325">
        <v>0.25</v>
      </c>
      <c r="E502" s="325" t="s">
        <v>747</v>
      </c>
      <c r="F502" s="325">
        <v>0.15</v>
      </c>
      <c r="G502" s="324">
        <v>0.1</v>
      </c>
    </row>
    <row r="503" spans="1:7" x14ac:dyDescent="0.3">
      <c r="A503" s="326" t="s">
        <v>1316</v>
      </c>
      <c r="B503" s="325">
        <v>91430</v>
      </c>
      <c r="C503" s="325">
        <v>0.05</v>
      </c>
      <c r="D503" s="325">
        <v>0.05</v>
      </c>
      <c r="E503" s="325" t="s">
        <v>743</v>
      </c>
      <c r="F503" s="325">
        <v>0.04</v>
      </c>
      <c r="G503" s="324">
        <v>0.02</v>
      </c>
    </row>
    <row r="504" spans="1:7" x14ac:dyDescent="0.3">
      <c r="A504" s="326" t="s">
        <v>1316</v>
      </c>
      <c r="B504" s="325">
        <v>15401</v>
      </c>
      <c r="C504" s="325">
        <v>0.15</v>
      </c>
      <c r="D504" s="325">
        <v>0.15</v>
      </c>
      <c r="E504" s="325" t="s">
        <v>719</v>
      </c>
      <c r="F504" s="325">
        <v>0.16</v>
      </c>
      <c r="G504" s="324">
        <v>0.08</v>
      </c>
    </row>
    <row r="505" spans="1:7" x14ac:dyDescent="0.3">
      <c r="A505" s="326" t="s">
        <v>1315</v>
      </c>
      <c r="B505" s="325">
        <v>66400</v>
      </c>
      <c r="C505" s="325">
        <v>0.25</v>
      </c>
      <c r="D505" s="325">
        <v>0.3</v>
      </c>
      <c r="E505" s="325" t="s">
        <v>747</v>
      </c>
      <c r="F505" s="325">
        <v>0.2</v>
      </c>
      <c r="G505" s="324">
        <v>0.1</v>
      </c>
    </row>
    <row r="506" spans="1:7" x14ac:dyDescent="0.3">
      <c r="A506" s="326" t="s">
        <v>1314</v>
      </c>
      <c r="B506" s="325">
        <v>54377</v>
      </c>
      <c r="C506" s="325">
        <v>0.35</v>
      </c>
      <c r="D506" s="325">
        <v>0.3</v>
      </c>
      <c r="E506" s="325" t="s">
        <v>747</v>
      </c>
      <c r="F506" s="325">
        <v>0.14000000000000001</v>
      </c>
      <c r="G506" s="324">
        <v>0.06</v>
      </c>
    </row>
    <row r="507" spans="1:7" x14ac:dyDescent="0.3">
      <c r="A507" s="326" t="s">
        <v>1313</v>
      </c>
      <c r="B507" s="325">
        <v>15377</v>
      </c>
      <c r="C507" s="325">
        <v>0.3</v>
      </c>
      <c r="D507" s="325">
        <v>0.25</v>
      </c>
      <c r="E507" s="325" t="s">
        <v>747</v>
      </c>
      <c r="F507" s="325">
        <v>0.16</v>
      </c>
      <c r="G507" s="324">
        <v>0.08</v>
      </c>
    </row>
    <row r="508" spans="1:7" x14ac:dyDescent="0.3">
      <c r="A508" s="326" t="s">
        <v>1312</v>
      </c>
      <c r="B508" s="325">
        <v>68385</v>
      </c>
      <c r="C508" s="325">
        <v>0.15</v>
      </c>
      <c r="D508" s="325">
        <v>0.15</v>
      </c>
      <c r="E508" s="325" t="s">
        <v>719</v>
      </c>
      <c r="F508" s="325">
        <v>0.1</v>
      </c>
      <c r="G508" s="324">
        <v>0.06</v>
      </c>
    </row>
    <row r="509" spans="1:7" x14ac:dyDescent="0.3">
      <c r="A509" s="326" t="s">
        <v>1311</v>
      </c>
      <c r="B509" s="325">
        <v>68406</v>
      </c>
      <c r="C509" s="325">
        <v>0.25</v>
      </c>
      <c r="D509" s="325">
        <v>0.2</v>
      </c>
      <c r="E509" s="325" t="s">
        <v>747</v>
      </c>
      <c r="F509" s="325">
        <v>0.13</v>
      </c>
      <c r="G509" s="324">
        <v>0.09</v>
      </c>
    </row>
    <row r="510" spans="1:7" x14ac:dyDescent="0.3">
      <c r="A510" s="326" t="s">
        <v>1310</v>
      </c>
      <c r="B510" s="325">
        <v>52405</v>
      </c>
      <c r="C510" s="325">
        <v>0.3</v>
      </c>
      <c r="D510" s="325">
        <v>0.25</v>
      </c>
      <c r="E510" s="325" t="s">
        <v>747</v>
      </c>
      <c r="F510" s="325">
        <v>0.15</v>
      </c>
      <c r="G510" s="324">
        <v>0.08</v>
      </c>
    </row>
    <row r="511" spans="1:7" x14ac:dyDescent="0.3">
      <c r="A511" s="326" t="s">
        <v>1309</v>
      </c>
      <c r="B511" s="325">
        <v>50400</v>
      </c>
      <c r="C511" s="325">
        <v>0.3</v>
      </c>
      <c r="D511" s="325">
        <v>0.25</v>
      </c>
      <c r="E511" s="325" t="s">
        <v>747</v>
      </c>
      <c r="F511" s="325">
        <v>0.19</v>
      </c>
      <c r="G511" s="324">
        <v>0.08</v>
      </c>
    </row>
    <row r="512" spans="1:7" x14ac:dyDescent="0.3">
      <c r="A512" s="326" t="s">
        <v>1308</v>
      </c>
      <c r="B512" s="325">
        <v>25407</v>
      </c>
      <c r="C512" s="325">
        <v>0.15</v>
      </c>
      <c r="D512" s="325">
        <v>0.2</v>
      </c>
      <c r="E512" s="325" t="s">
        <v>719</v>
      </c>
      <c r="F512" s="325">
        <v>0.09</v>
      </c>
      <c r="G512" s="324">
        <v>0.05</v>
      </c>
    </row>
    <row r="513" spans="1:7" x14ac:dyDescent="0.3">
      <c r="A513" s="326" t="s">
        <v>1307</v>
      </c>
      <c r="B513" s="325">
        <v>73408</v>
      </c>
      <c r="C513" s="325">
        <v>0.2</v>
      </c>
      <c r="D513" s="325">
        <v>0.2</v>
      </c>
      <c r="E513" s="325" t="s">
        <v>719</v>
      </c>
      <c r="F513" s="325">
        <v>0.11</v>
      </c>
      <c r="G513" s="324">
        <v>0.06</v>
      </c>
    </row>
    <row r="514" spans="1:7" x14ac:dyDescent="0.3">
      <c r="A514" s="326" t="s">
        <v>1306</v>
      </c>
      <c r="B514" s="325">
        <v>91001</v>
      </c>
      <c r="C514" s="325">
        <v>0.05</v>
      </c>
      <c r="D514" s="325">
        <v>0.05</v>
      </c>
      <c r="E514" s="325" t="s">
        <v>743</v>
      </c>
      <c r="F514" s="325">
        <v>0.04</v>
      </c>
      <c r="G514" s="324">
        <v>0.02</v>
      </c>
    </row>
    <row r="515" spans="1:7" x14ac:dyDescent="0.3">
      <c r="A515" s="326" t="s">
        <v>1305</v>
      </c>
      <c r="B515" s="325">
        <v>73411</v>
      </c>
      <c r="C515" s="325">
        <v>0.2</v>
      </c>
      <c r="D515" s="325">
        <v>0.2</v>
      </c>
      <c r="E515" s="325" t="s">
        <v>719</v>
      </c>
      <c r="F515" s="325">
        <v>0.12</v>
      </c>
      <c r="G515" s="324">
        <v>7.0000000000000007E-2</v>
      </c>
    </row>
    <row r="516" spans="1:7" x14ac:dyDescent="0.3">
      <c r="A516" s="326" t="s">
        <v>1304</v>
      </c>
      <c r="B516" s="325">
        <v>5411</v>
      </c>
      <c r="C516" s="325">
        <v>0.15</v>
      </c>
      <c r="D516" s="325">
        <v>0.2</v>
      </c>
      <c r="E516" s="325" t="s">
        <v>719</v>
      </c>
      <c r="F516" s="325">
        <v>0.14000000000000001</v>
      </c>
      <c r="G516" s="324">
        <v>7.0000000000000007E-2</v>
      </c>
    </row>
    <row r="517" spans="1:7" x14ac:dyDescent="0.3">
      <c r="A517" s="326" t="s">
        <v>1303</v>
      </c>
      <c r="B517" s="325">
        <v>52411</v>
      </c>
      <c r="C517" s="325">
        <v>0.25</v>
      </c>
      <c r="D517" s="325">
        <v>0.25</v>
      </c>
      <c r="E517" s="325" t="s">
        <v>747</v>
      </c>
      <c r="F517" s="325">
        <v>0.16</v>
      </c>
      <c r="G517" s="324">
        <v>0.08</v>
      </c>
    </row>
    <row r="518" spans="1:7" x14ac:dyDescent="0.3">
      <c r="A518" s="326" t="s">
        <v>1302</v>
      </c>
      <c r="B518" s="325">
        <v>27413</v>
      </c>
      <c r="C518" s="325">
        <v>0.25</v>
      </c>
      <c r="D518" s="325">
        <v>0.35</v>
      </c>
      <c r="E518" s="325" t="s">
        <v>747</v>
      </c>
      <c r="F518" s="325">
        <v>0.24</v>
      </c>
      <c r="G518" s="324">
        <v>0.1</v>
      </c>
    </row>
    <row r="519" spans="1:7" x14ac:dyDescent="0.3">
      <c r="A519" s="326" t="s">
        <v>1301</v>
      </c>
      <c r="B519" s="325">
        <v>19418</v>
      </c>
      <c r="C519" s="325">
        <v>0.4</v>
      </c>
      <c r="D519" s="325">
        <v>0.3</v>
      </c>
      <c r="E519" s="325" t="s">
        <v>747</v>
      </c>
      <c r="F519" s="325">
        <v>0.14000000000000001</v>
      </c>
      <c r="G519" s="324">
        <v>7.0000000000000007E-2</v>
      </c>
    </row>
    <row r="520" spans="1:7" x14ac:dyDescent="0.3">
      <c r="A520" s="326" t="s">
        <v>1300</v>
      </c>
      <c r="B520" s="325">
        <v>23417</v>
      </c>
      <c r="C520" s="325">
        <v>0.1</v>
      </c>
      <c r="D520" s="325">
        <v>0.15</v>
      </c>
      <c r="E520" s="325" t="s">
        <v>719</v>
      </c>
      <c r="F520" s="325">
        <v>0.05</v>
      </c>
      <c r="G520" s="324">
        <v>0.03</v>
      </c>
    </row>
    <row r="521" spans="1:7" x14ac:dyDescent="0.3">
      <c r="A521" s="326" t="s">
        <v>1299</v>
      </c>
      <c r="B521" s="325">
        <v>52418</v>
      </c>
      <c r="C521" s="325">
        <v>0.3</v>
      </c>
      <c r="D521" s="325">
        <v>0.3</v>
      </c>
      <c r="E521" s="325" t="s">
        <v>747</v>
      </c>
      <c r="F521" s="325">
        <v>0.12</v>
      </c>
      <c r="G521" s="324">
        <v>7.0000000000000007E-2</v>
      </c>
    </row>
    <row r="522" spans="1:7" x14ac:dyDescent="0.3">
      <c r="A522" s="326" t="s">
        <v>1298</v>
      </c>
      <c r="B522" s="325">
        <v>23419</v>
      </c>
      <c r="C522" s="325">
        <v>0.1</v>
      </c>
      <c r="D522" s="325">
        <v>0.2</v>
      </c>
      <c r="E522" s="325" t="s">
        <v>719</v>
      </c>
      <c r="F522" s="325">
        <v>0.08</v>
      </c>
      <c r="G522" s="324">
        <v>0.05</v>
      </c>
    </row>
    <row r="523" spans="1:7" x14ac:dyDescent="0.3">
      <c r="A523" s="326" t="s">
        <v>1297</v>
      </c>
      <c r="B523" s="325">
        <v>70418</v>
      </c>
      <c r="C523" s="325">
        <v>0.1</v>
      </c>
      <c r="D523" s="325">
        <v>0.15</v>
      </c>
      <c r="E523" s="325" t="s">
        <v>719</v>
      </c>
      <c r="F523" s="325">
        <v>0.05</v>
      </c>
      <c r="G523" s="324">
        <v>0.04</v>
      </c>
    </row>
    <row r="524" spans="1:7" x14ac:dyDescent="0.3">
      <c r="A524" s="326" t="s">
        <v>1296</v>
      </c>
      <c r="B524" s="325">
        <v>54405</v>
      </c>
      <c r="C524" s="325">
        <v>0.35</v>
      </c>
      <c r="D524" s="325">
        <v>0.3</v>
      </c>
      <c r="E524" s="325" t="s">
        <v>747</v>
      </c>
      <c r="F524" s="325">
        <v>0.22</v>
      </c>
      <c r="G524" s="324">
        <v>0.09</v>
      </c>
    </row>
    <row r="525" spans="1:7" x14ac:dyDescent="0.3">
      <c r="A525" s="326" t="s">
        <v>1295</v>
      </c>
      <c r="B525" s="325">
        <v>68418</v>
      </c>
      <c r="C525" s="325">
        <v>0.2</v>
      </c>
      <c r="D525" s="325">
        <v>0.25</v>
      </c>
      <c r="E525" s="325" t="s">
        <v>747</v>
      </c>
      <c r="F525" s="325">
        <v>0.11</v>
      </c>
      <c r="G525" s="324">
        <v>0.08</v>
      </c>
    </row>
    <row r="526" spans="1:7" x14ac:dyDescent="0.3">
      <c r="A526" s="326" t="s">
        <v>1294</v>
      </c>
      <c r="B526" s="325">
        <v>54418</v>
      </c>
      <c r="C526" s="325">
        <v>0.3</v>
      </c>
      <c r="D526" s="325">
        <v>0.25</v>
      </c>
      <c r="E526" s="325" t="s">
        <v>747</v>
      </c>
      <c r="F526" s="325">
        <v>0.11</v>
      </c>
      <c r="G526" s="324">
        <v>0.05</v>
      </c>
    </row>
    <row r="527" spans="1:7" x14ac:dyDescent="0.3">
      <c r="A527" s="326" t="s">
        <v>1293</v>
      </c>
      <c r="B527" s="325">
        <v>8421</v>
      </c>
      <c r="C527" s="325">
        <v>0.1</v>
      </c>
      <c r="D527" s="325">
        <v>0.1</v>
      </c>
      <c r="E527" s="325" t="s">
        <v>743</v>
      </c>
      <c r="F527" s="325">
        <v>0.04</v>
      </c>
      <c r="G527" s="324">
        <v>0.02</v>
      </c>
    </row>
    <row r="528" spans="1:7" x14ac:dyDescent="0.3">
      <c r="A528" s="326" t="s">
        <v>1292</v>
      </c>
      <c r="B528" s="325">
        <v>15425</v>
      </c>
      <c r="C528" s="325">
        <v>0.25</v>
      </c>
      <c r="D528" s="325">
        <v>0.25</v>
      </c>
      <c r="E528" s="325" t="s">
        <v>747</v>
      </c>
      <c r="F528" s="325">
        <v>0.16</v>
      </c>
      <c r="G528" s="324">
        <v>0.08</v>
      </c>
    </row>
    <row r="529" spans="1:7" x14ac:dyDescent="0.3">
      <c r="A529" s="326" t="s">
        <v>1291</v>
      </c>
      <c r="B529" s="325">
        <v>68425</v>
      </c>
      <c r="C529" s="325">
        <v>0.25</v>
      </c>
      <c r="D529" s="325">
        <v>0.25</v>
      </c>
      <c r="E529" s="325" t="s">
        <v>747</v>
      </c>
      <c r="F529" s="325">
        <v>0.12</v>
      </c>
      <c r="G529" s="324">
        <v>0.06</v>
      </c>
    </row>
    <row r="530" spans="1:7" x14ac:dyDescent="0.3">
      <c r="A530" s="326" t="s">
        <v>1290</v>
      </c>
      <c r="B530" s="325">
        <v>5425</v>
      </c>
      <c r="C530" s="325">
        <v>0.15</v>
      </c>
      <c r="D530" s="325">
        <v>0.2</v>
      </c>
      <c r="E530" s="325" t="s">
        <v>719</v>
      </c>
      <c r="F530" s="325">
        <v>0.11</v>
      </c>
      <c r="G530" s="324">
        <v>0.06</v>
      </c>
    </row>
    <row r="531" spans="1:7" x14ac:dyDescent="0.3">
      <c r="A531" s="326" t="s">
        <v>1289</v>
      </c>
      <c r="B531" s="325">
        <v>25426</v>
      </c>
      <c r="C531" s="325">
        <v>0.2</v>
      </c>
      <c r="D531" s="325">
        <v>0.25</v>
      </c>
      <c r="E531" s="325" t="s">
        <v>747</v>
      </c>
      <c r="F531" s="325">
        <v>0.13</v>
      </c>
      <c r="G531" s="324">
        <v>0.06</v>
      </c>
    </row>
    <row r="532" spans="1:7" x14ac:dyDescent="0.3">
      <c r="A532" s="326" t="s">
        <v>1288</v>
      </c>
      <c r="B532" s="325">
        <v>25430</v>
      </c>
      <c r="C532" s="325">
        <v>0.15</v>
      </c>
      <c r="D532" s="325">
        <v>0.2</v>
      </c>
      <c r="E532" s="325" t="s">
        <v>719</v>
      </c>
      <c r="F532" s="325">
        <v>0.1</v>
      </c>
      <c r="G532" s="324">
        <v>0.06</v>
      </c>
    </row>
    <row r="533" spans="1:7" x14ac:dyDescent="0.3">
      <c r="A533" s="326" t="s">
        <v>1287</v>
      </c>
      <c r="B533" s="325">
        <v>13430</v>
      </c>
      <c r="C533" s="325">
        <v>0.1</v>
      </c>
      <c r="D533" s="325">
        <v>0.15</v>
      </c>
      <c r="E533" s="325" t="s">
        <v>719</v>
      </c>
      <c r="F533" s="325">
        <v>0.04</v>
      </c>
      <c r="G533" s="324">
        <v>0.03</v>
      </c>
    </row>
    <row r="534" spans="1:7" x14ac:dyDescent="0.3">
      <c r="A534" s="326" t="s">
        <v>1286</v>
      </c>
      <c r="B534" s="325">
        <v>52427</v>
      </c>
      <c r="C534" s="325">
        <v>0.4</v>
      </c>
      <c r="D534" s="325">
        <v>0.35</v>
      </c>
      <c r="E534" s="325" t="s">
        <v>747</v>
      </c>
      <c r="F534" s="325">
        <v>0.16</v>
      </c>
      <c r="G534" s="324">
        <v>0.08</v>
      </c>
    </row>
    <row r="535" spans="1:7" x14ac:dyDescent="0.3">
      <c r="A535" s="326" t="s">
        <v>1285</v>
      </c>
      <c r="B535" s="325">
        <v>13433</v>
      </c>
      <c r="C535" s="325">
        <v>0.1</v>
      </c>
      <c r="D535" s="325">
        <v>0.1</v>
      </c>
      <c r="E535" s="325" t="s">
        <v>743</v>
      </c>
      <c r="F535" s="325">
        <v>0.08</v>
      </c>
      <c r="G535" s="324">
        <v>0.03</v>
      </c>
    </row>
    <row r="536" spans="1:7" x14ac:dyDescent="0.3">
      <c r="A536" s="326" t="s">
        <v>1284</v>
      </c>
      <c r="B536" s="325">
        <v>44430</v>
      </c>
      <c r="C536" s="325">
        <v>0.1</v>
      </c>
      <c r="D536" s="325">
        <v>0.15</v>
      </c>
      <c r="E536" s="325" t="s">
        <v>719</v>
      </c>
      <c r="F536" s="325">
        <v>7.0000000000000007E-2</v>
      </c>
      <c r="G536" s="324">
        <v>0.04</v>
      </c>
    </row>
    <row r="537" spans="1:7" x14ac:dyDescent="0.3">
      <c r="A537" s="326" t="s">
        <v>1283</v>
      </c>
      <c r="B537" s="325">
        <v>70429</v>
      </c>
      <c r="C537" s="325">
        <v>0.15</v>
      </c>
      <c r="D537" s="325">
        <v>0.15</v>
      </c>
      <c r="E537" s="325" t="s">
        <v>719</v>
      </c>
      <c r="F537" s="325">
        <v>0.04</v>
      </c>
      <c r="G537" s="324">
        <v>0.04</v>
      </c>
    </row>
    <row r="538" spans="1:7" x14ac:dyDescent="0.3">
      <c r="A538" s="326" t="s">
        <v>1282</v>
      </c>
      <c r="B538" s="325">
        <v>68432</v>
      </c>
      <c r="C538" s="325">
        <v>0.25</v>
      </c>
      <c r="D538" s="325">
        <v>0.25</v>
      </c>
      <c r="E538" s="325" t="s">
        <v>747</v>
      </c>
      <c r="F538" s="325">
        <v>0.09</v>
      </c>
      <c r="G538" s="324">
        <v>0.05</v>
      </c>
    </row>
    <row r="539" spans="1:7" x14ac:dyDescent="0.3">
      <c r="A539" s="326" t="s">
        <v>1281</v>
      </c>
      <c r="B539" s="325">
        <v>8433</v>
      </c>
      <c r="C539" s="325">
        <v>0.1</v>
      </c>
      <c r="D539" s="325">
        <v>0.1</v>
      </c>
      <c r="E539" s="325" t="s">
        <v>743</v>
      </c>
      <c r="F539" s="325">
        <v>0.06</v>
      </c>
      <c r="G539" s="324">
        <v>0.03</v>
      </c>
    </row>
    <row r="540" spans="1:7" x14ac:dyDescent="0.3">
      <c r="A540" s="326" t="s">
        <v>1280</v>
      </c>
      <c r="B540" s="325">
        <v>52435</v>
      </c>
      <c r="C540" s="325">
        <v>0.3</v>
      </c>
      <c r="D540" s="325">
        <v>0.25</v>
      </c>
      <c r="E540" s="325" t="s">
        <v>747</v>
      </c>
      <c r="F540" s="325">
        <v>0.16</v>
      </c>
      <c r="G540" s="324">
        <v>0.08</v>
      </c>
    </row>
    <row r="541" spans="1:7" x14ac:dyDescent="0.3">
      <c r="A541" s="326" t="s">
        <v>1279</v>
      </c>
      <c r="B541" s="325">
        <v>8436</v>
      </c>
      <c r="C541" s="325">
        <v>0.1</v>
      </c>
      <c r="D541" s="325">
        <v>0.1</v>
      </c>
      <c r="E541" s="325" t="s">
        <v>743</v>
      </c>
      <c r="F541" s="325">
        <v>0.06</v>
      </c>
      <c r="G541" s="324">
        <v>0.03</v>
      </c>
    </row>
    <row r="542" spans="1:7" x14ac:dyDescent="0.3">
      <c r="A542" s="326" t="s">
        <v>1278</v>
      </c>
      <c r="B542" s="325">
        <v>20443</v>
      </c>
      <c r="C542" s="325">
        <v>0.1</v>
      </c>
      <c r="D542" s="325">
        <v>0.1</v>
      </c>
      <c r="E542" s="325" t="s">
        <v>743</v>
      </c>
      <c r="F542" s="325">
        <v>0.08</v>
      </c>
      <c r="G542" s="324">
        <v>0.04</v>
      </c>
    </row>
    <row r="543" spans="1:7" x14ac:dyDescent="0.3">
      <c r="A543" s="326" t="s">
        <v>1278</v>
      </c>
      <c r="B543" s="325">
        <v>44560</v>
      </c>
      <c r="C543" s="325">
        <v>0.1</v>
      </c>
      <c r="D543" s="325">
        <v>0.15</v>
      </c>
      <c r="E543" s="325" t="s">
        <v>719</v>
      </c>
      <c r="F543" s="325">
        <v>7.0000000000000007E-2</v>
      </c>
      <c r="G543" s="324">
        <v>0.04</v>
      </c>
    </row>
    <row r="544" spans="1:7" x14ac:dyDescent="0.3">
      <c r="A544" s="326" t="s">
        <v>1277</v>
      </c>
      <c r="B544" s="325">
        <v>85139</v>
      </c>
      <c r="C544" s="325">
        <v>0.1</v>
      </c>
      <c r="D544" s="325">
        <v>0.15</v>
      </c>
      <c r="E544" s="325" t="s">
        <v>719</v>
      </c>
      <c r="F544" s="325">
        <v>0.04</v>
      </c>
      <c r="G544" s="324">
        <v>0.02</v>
      </c>
    </row>
    <row r="545" spans="1:7" x14ac:dyDescent="0.3">
      <c r="A545" s="326" t="s">
        <v>1276</v>
      </c>
      <c r="B545" s="325">
        <v>17001</v>
      </c>
      <c r="C545" s="325">
        <v>0.25</v>
      </c>
      <c r="D545" s="325">
        <v>0.25</v>
      </c>
      <c r="E545" s="325" t="s">
        <v>747</v>
      </c>
      <c r="F545" s="325">
        <v>0.2</v>
      </c>
      <c r="G545" s="324">
        <v>0.1</v>
      </c>
    </row>
    <row r="546" spans="1:7" x14ac:dyDescent="0.3">
      <c r="A546" s="326" t="s">
        <v>1275</v>
      </c>
      <c r="B546" s="325">
        <v>25436</v>
      </c>
      <c r="C546" s="325">
        <v>0.2</v>
      </c>
      <c r="D546" s="325">
        <v>0.25</v>
      </c>
      <c r="E546" s="325" t="s">
        <v>747</v>
      </c>
      <c r="F546" s="325">
        <v>0.15</v>
      </c>
      <c r="G546" s="324">
        <v>0.06</v>
      </c>
    </row>
    <row r="547" spans="1:7" x14ac:dyDescent="0.3">
      <c r="A547" s="326" t="s">
        <v>1274</v>
      </c>
      <c r="B547" s="325">
        <v>17433</v>
      </c>
      <c r="C547" s="325">
        <v>0.2</v>
      </c>
      <c r="D547" s="325">
        <v>0.2</v>
      </c>
      <c r="E547" s="325" t="s">
        <v>719</v>
      </c>
      <c r="F547" s="325">
        <v>0.2</v>
      </c>
      <c r="G547" s="324">
        <v>0.1</v>
      </c>
    </row>
    <row r="548" spans="1:7" x14ac:dyDescent="0.3">
      <c r="A548" s="326" t="s">
        <v>1273</v>
      </c>
      <c r="B548" s="325">
        <v>50325</v>
      </c>
      <c r="C548" s="325">
        <v>0.05</v>
      </c>
      <c r="D548" s="325">
        <v>0.05</v>
      </c>
      <c r="E548" s="325" t="s">
        <v>743</v>
      </c>
      <c r="F548" s="325">
        <v>0.02</v>
      </c>
      <c r="G548" s="324">
        <v>0.02</v>
      </c>
    </row>
    <row r="549" spans="1:7" x14ac:dyDescent="0.3">
      <c r="A549" s="326" t="s">
        <v>1272</v>
      </c>
      <c r="B549" s="325">
        <v>94663</v>
      </c>
      <c r="C549" s="325">
        <v>0.05</v>
      </c>
      <c r="D549" s="325">
        <v>0.05</v>
      </c>
      <c r="E549" s="325" t="s">
        <v>743</v>
      </c>
      <c r="F549" s="325">
        <v>0.04</v>
      </c>
      <c r="G549" s="324">
        <v>0.02</v>
      </c>
    </row>
    <row r="550" spans="1:7" x14ac:dyDescent="0.3">
      <c r="A550" s="326" t="s">
        <v>1271</v>
      </c>
      <c r="B550" s="325">
        <v>13440</v>
      </c>
      <c r="C550" s="325">
        <v>0.1</v>
      </c>
      <c r="D550" s="325">
        <v>0.1</v>
      </c>
      <c r="E550" s="325" t="s">
        <v>743</v>
      </c>
      <c r="F550" s="325">
        <v>0.05</v>
      </c>
      <c r="G550" s="324">
        <v>0.03</v>
      </c>
    </row>
    <row r="551" spans="1:7" x14ac:dyDescent="0.3">
      <c r="A551" s="326" t="s">
        <v>1270</v>
      </c>
      <c r="B551" s="325">
        <v>13442</v>
      </c>
      <c r="C551" s="325">
        <v>0.1</v>
      </c>
      <c r="D551" s="325">
        <v>0.15</v>
      </c>
      <c r="E551" s="325" t="s">
        <v>719</v>
      </c>
      <c r="F551" s="325">
        <v>7.0000000000000007E-2</v>
      </c>
      <c r="G551" s="324">
        <v>0.03</v>
      </c>
    </row>
    <row r="552" spans="1:7" x14ac:dyDescent="0.3">
      <c r="A552" s="326" t="s">
        <v>1269</v>
      </c>
      <c r="B552" s="325">
        <v>5440</v>
      </c>
      <c r="C552" s="325">
        <v>0.15</v>
      </c>
      <c r="D552" s="325">
        <v>0.2</v>
      </c>
      <c r="E552" s="325" t="s">
        <v>719</v>
      </c>
      <c r="F552" s="325">
        <v>0.11</v>
      </c>
      <c r="G552" s="324">
        <v>0.06</v>
      </c>
    </row>
    <row r="553" spans="1:7" x14ac:dyDescent="0.3">
      <c r="A553" s="326" t="s">
        <v>1268</v>
      </c>
      <c r="B553" s="325">
        <v>15442</v>
      </c>
      <c r="C553" s="325">
        <v>0.15</v>
      </c>
      <c r="D553" s="325">
        <v>0.15</v>
      </c>
      <c r="E553" s="325" t="s">
        <v>719</v>
      </c>
      <c r="F553" s="325">
        <v>0.13</v>
      </c>
      <c r="G553" s="324">
        <v>7.0000000000000007E-2</v>
      </c>
    </row>
    <row r="554" spans="1:7" x14ac:dyDescent="0.3">
      <c r="A554" s="326" t="s">
        <v>1267</v>
      </c>
      <c r="B554" s="325">
        <v>73443</v>
      </c>
      <c r="C554" s="325">
        <v>0.2</v>
      </c>
      <c r="D554" s="325">
        <v>0.2</v>
      </c>
      <c r="E554" s="325" t="s">
        <v>719</v>
      </c>
      <c r="F554" s="325">
        <v>0.11</v>
      </c>
      <c r="G554" s="324">
        <v>7.0000000000000007E-2</v>
      </c>
    </row>
    <row r="555" spans="1:7" x14ac:dyDescent="0.3">
      <c r="A555" s="326" t="s">
        <v>1266</v>
      </c>
      <c r="B555" s="325">
        <v>17442</v>
      </c>
      <c r="C555" s="325">
        <v>0.25</v>
      </c>
      <c r="D555" s="325">
        <v>0.25</v>
      </c>
      <c r="E555" s="325" t="s">
        <v>747</v>
      </c>
      <c r="F555" s="325">
        <v>0.2</v>
      </c>
      <c r="G555" s="324">
        <v>0.1</v>
      </c>
    </row>
    <row r="556" spans="1:7" x14ac:dyDescent="0.3">
      <c r="A556" s="326" t="s">
        <v>1265</v>
      </c>
      <c r="B556" s="325">
        <v>17444</v>
      </c>
      <c r="C556" s="325">
        <v>0.2</v>
      </c>
      <c r="D556" s="325">
        <v>0.2</v>
      </c>
      <c r="E556" s="325" t="s">
        <v>719</v>
      </c>
      <c r="F556" s="325">
        <v>0.17</v>
      </c>
      <c r="G556" s="324">
        <v>0.08</v>
      </c>
    </row>
    <row r="557" spans="1:7" x14ac:dyDescent="0.3">
      <c r="A557" s="326" t="s">
        <v>1264</v>
      </c>
      <c r="B557" s="325">
        <v>66440</v>
      </c>
      <c r="C557" s="325">
        <v>0.25</v>
      </c>
      <c r="D557" s="325">
        <v>0.25</v>
      </c>
      <c r="E557" s="325" t="s">
        <v>747</v>
      </c>
      <c r="F557" s="325">
        <v>0.2</v>
      </c>
      <c r="G557" s="324">
        <v>0.1</v>
      </c>
    </row>
    <row r="558" spans="1:7" x14ac:dyDescent="0.3">
      <c r="A558" s="326" t="s">
        <v>1263</v>
      </c>
      <c r="B558" s="325">
        <v>17446</v>
      </c>
      <c r="C558" s="325">
        <v>0.2</v>
      </c>
      <c r="D558" s="325">
        <v>0.25</v>
      </c>
      <c r="E558" s="325" t="s">
        <v>747</v>
      </c>
      <c r="F558" s="325">
        <v>0.18</v>
      </c>
      <c r="G558" s="324">
        <v>0.09</v>
      </c>
    </row>
    <row r="559" spans="1:7" x14ac:dyDescent="0.3">
      <c r="A559" s="326" t="s">
        <v>1262</v>
      </c>
      <c r="B559" s="325">
        <v>68444</v>
      </c>
      <c r="C559" s="325">
        <v>0.25</v>
      </c>
      <c r="D559" s="325">
        <v>0.25</v>
      </c>
      <c r="E559" s="325" t="s">
        <v>747</v>
      </c>
      <c r="F559" s="325">
        <v>0.1</v>
      </c>
      <c r="G559" s="324">
        <v>0.06</v>
      </c>
    </row>
    <row r="560" spans="1:7" x14ac:dyDescent="0.3">
      <c r="A560" s="326" t="s">
        <v>1261</v>
      </c>
      <c r="B560" s="325">
        <v>5001</v>
      </c>
      <c r="C560" s="325">
        <v>0.15</v>
      </c>
      <c r="D560" s="325">
        <v>0.2</v>
      </c>
      <c r="E560" s="325" t="s">
        <v>719</v>
      </c>
      <c r="F560" s="325">
        <v>0.13</v>
      </c>
      <c r="G560" s="324">
        <v>7.0000000000000007E-2</v>
      </c>
    </row>
    <row r="561" spans="1:7" x14ac:dyDescent="0.3">
      <c r="A561" s="326" t="s">
        <v>1260</v>
      </c>
      <c r="B561" s="325">
        <v>25438</v>
      </c>
      <c r="C561" s="325">
        <v>0.35</v>
      </c>
      <c r="D561" s="325">
        <v>0.25</v>
      </c>
      <c r="E561" s="325" t="s">
        <v>747</v>
      </c>
      <c r="F561" s="325">
        <v>0.16</v>
      </c>
      <c r="G561" s="324">
        <v>0.06</v>
      </c>
    </row>
    <row r="562" spans="1:7" x14ac:dyDescent="0.3">
      <c r="A562" s="326" t="s">
        <v>1259</v>
      </c>
      <c r="B562" s="325">
        <v>27425</v>
      </c>
      <c r="C562" s="325">
        <v>0.35</v>
      </c>
      <c r="D562" s="325">
        <v>0.35</v>
      </c>
      <c r="E562" s="325" t="s">
        <v>747</v>
      </c>
      <c r="F562" s="325">
        <v>0.24</v>
      </c>
      <c r="G562" s="324">
        <v>0.1</v>
      </c>
    </row>
    <row r="563" spans="1:7" x14ac:dyDescent="0.3">
      <c r="A563" s="326" t="s">
        <v>1258</v>
      </c>
      <c r="B563" s="325">
        <v>27430</v>
      </c>
      <c r="C563" s="325">
        <v>0.45</v>
      </c>
      <c r="D563" s="325">
        <v>0.4</v>
      </c>
      <c r="E563" s="325" t="s">
        <v>747</v>
      </c>
      <c r="F563" s="325">
        <v>0.24</v>
      </c>
      <c r="G563" s="324">
        <v>0.1</v>
      </c>
    </row>
    <row r="564" spans="1:7" x14ac:dyDescent="0.3">
      <c r="A564" s="326" t="s">
        <v>1257</v>
      </c>
      <c r="B564" s="325">
        <v>27450</v>
      </c>
      <c r="C564" s="325">
        <v>0.4</v>
      </c>
      <c r="D564" s="325">
        <v>0.4</v>
      </c>
      <c r="E564" s="325" t="s">
        <v>747</v>
      </c>
      <c r="F564" s="325">
        <v>0.24</v>
      </c>
      <c r="G564" s="324">
        <v>0.1</v>
      </c>
    </row>
    <row r="565" spans="1:7" x14ac:dyDescent="0.3">
      <c r="A565" s="326" t="s">
        <v>1256</v>
      </c>
      <c r="B565" s="325">
        <v>73449</v>
      </c>
      <c r="C565" s="325">
        <v>0.2</v>
      </c>
      <c r="D565" s="325">
        <v>0.2</v>
      </c>
      <c r="E565" s="325" t="s">
        <v>719</v>
      </c>
      <c r="F565" s="325">
        <v>0.09</v>
      </c>
      <c r="G565" s="324">
        <v>0.05</v>
      </c>
    </row>
    <row r="566" spans="1:7" x14ac:dyDescent="0.3">
      <c r="A566" s="326" t="s">
        <v>1255</v>
      </c>
      <c r="B566" s="325">
        <v>19450</v>
      </c>
      <c r="C566" s="325">
        <v>0.25</v>
      </c>
      <c r="D566" s="325">
        <v>0.25</v>
      </c>
      <c r="E566" s="325" t="s">
        <v>747</v>
      </c>
      <c r="F566" s="325">
        <v>0.15</v>
      </c>
      <c r="G566" s="324">
        <v>0.08</v>
      </c>
    </row>
    <row r="567" spans="1:7" x14ac:dyDescent="0.3">
      <c r="A567" s="326" t="s">
        <v>1254</v>
      </c>
      <c r="B567" s="325">
        <v>50330</v>
      </c>
      <c r="C567" s="325">
        <v>0.2</v>
      </c>
      <c r="D567" s="325">
        <v>0.25</v>
      </c>
      <c r="E567" s="325" t="s">
        <v>747</v>
      </c>
      <c r="F567" s="325">
        <v>7.0000000000000007E-2</v>
      </c>
      <c r="G567" s="324">
        <v>0.03</v>
      </c>
    </row>
    <row r="568" spans="1:7" x14ac:dyDescent="0.3">
      <c r="A568" s="326" t="s">
        <v>1253</v>
      </c>
      <c r="B568" s="325">
        <v>18460</v>
      </c>
      <c r="C568" s="325">
        <v>0.05</v>
      </c>
      <c r="D568" s="325">
        <v>0.15</v>
      </c>
      <c r="E568" s="325" t="s">
        <v>719</v>
      </c>
      <c r="F568" s="325">
        <v>0.04</v>
      </c>
      <c r="G568" s="324">
        <v>0.02</v>
      </c>
    </row>
    <row r="569" spans="1:7" x14ac:dyDescent="0.3">
      <c r="A569" s="326" t="s">
        <v>1252</v>
      </c>
      <c r="B569" s="325">
        <v>15455</v>
      </c>
      <c r="C569" s="325">
        <v>0.25</v>
      </c>
      <c r="D569" s="325">
        <v>0.25</v>
      </c>
      <c r="E569" s="325" t="s">
        <v>747</v>
      </c>
      <c r="F569" s="325">
        <v>0.16</v>
      </c>
      <c r="G569" s="324">
        <v>0.08</v>
      </c>
    </row>
    <row r="570" spans="1:7" x14ac:dyDescent="0.3">
      <c r="A570" s="326" t="s">
        <v>1252</v>
      </c>
      <c r="B570" s="325">
        <v>95200</v>
      </c>
      <c r="C570" s="325">
        <v>0.05</v>
      </c>
      <c r="D570" s="325">
        <v>0.05</v>
      </c>
      <c r="E570" s="325" t="s">
        <v>743</v>
      </c>
      <c r="F570" s="325">
        <v>0.04</v>
      </c>
      <c r="G570" s="324">
        <v>0.02</v>
      </c>
    </row>
    <row r="571" spans="1:7" x14ac:dyDescent="0.3">
      <c r="A571" s="326" t="s">
        <v>1251</v>
      </c>
      <c r="B571" s="325">
        <v>19455</v>
      </c>
      <c r="C571" s="325">
        <v>0.25</v>
      </c>
      <c r="D571" s="325">
        <v>0.2</v>
      </c>
      <c r="E571" s="325" t="s">
        <v>747</v>
      </c>
      <c r="F571" s="325">
        <v>0.13</v>
      </c>
      <c r="G571" s="324">
        <v>0.06</v>
      </c>
    </row>
    <row r="572" spans="1:7" x14ac:dyDescent="0.3">
      <c r="A572" s="326" t="s">
        <v>1250</v>
      </c>
      <c r="B572" s="325">
        <v>91460</v>
      </c>
      <c r="C572" s="325">
        <v>0.05</v>
      </c>
      <c r="D572" s="325">
        <v>0.05</v>
      </c>
      <c r="E572" s="325" t="s">
        <v>743</v>
      </c>
      <c r="F572" s="325">
        <v>0.04</v>
      </c>
      <c r="G572" s="324">
        <v>0.02</v>
      </c>
    </row>
    <row r="573" spans="1:7" x14ac:dyDescent="0.3">
      <c r="A573" s="326" t="s">
        <v>1249</v>
      </c>
      <c r="B573" s="325">
        <v>66456</v>
      </c>
      <c r="C573" s="325">
        <v>0.3</v>
      </c>
      <c r="D573" s="325">
        <v>0.3</v>
      </c>
      <c r="E573" s="325" t="s">
        <v>747</v>
      </c>
      <c r="F573" s="325">
        <v>0.2</v>
      </c>
      <c r="G573" s="324">
        <v>0.1</v>
      </c>
    </row>
    <row r="574" spans="1:7" x14ac:dyDescent="0.3">
      <c r="A574" s="326" t="s">
        <v>1248</v>
      </c>
      <c r="B574" s="325">
        <v>97001</v>
      </c>
      <c r="C574" s="325">
        <v>0.05</v>
      </c>
      <c r="D574" s="325">
        <v>0.05</v>
      </c>
      <c r="E574" s="325" t="s">
        <v>743</v>
      </c>
      <c r="F574" s="325">
        <v>0.04</v>
      </c>
      <c r="G574" s="324">
        <v>0.02</v>
      </c>
    </row>
    <row r="575" spans="1:7" x14ac:dyDescent="0.3">
      <c r="A575" s="326" t="s">
        <v>1247</v>
      </c>
      <c r="B575" s="325">
        <v>86001</v>
      </c>
      <c r="C575" s="325">
        <v>0.3</v>
      </c>
      <c r="D575" s="325">
        <v>0.25</v>
      </c>
      <c r="E575" s="325" t="s">
        <v>747</v>
      </c>
      <c r="F575" s="325">
        <v>0.2</v>
      </c>
      <c r="G575" s="324">
        <v>0.1</v>
      </c>
    </row>
    <row r="576" spans="1:7" x14ac:dyDescent="0.3">
      <c r="A576" s="326" t="s">
        <v>1246</v>
      </c>
      <c r="B576" s="325">
        <v>68464</v>
      </c>
      <c r="C576" s="325">
        <v>0.25</v>
      </c>
      <c r="D576" s="325">
        <v>0.25</v>
      </c>
      <c r="E576" s="325" t="s">
        <v>747</v>
      </c>
      <c r="F576" s="325">
        <v>0.1</v>
      </c>
      <c r="G576" s="324">
        <v>0.06</v>
      </c>
    </row>
    <row r="577" spans="1:7" x14ac:dyDescent="0.3">
      <c r="A577" s="326" t="s">
        <v>1245</v>
      </c>
      <c r="B577" s="325">
        <v>68468</v>
      </c>
      <c r="C577" s="325">
        <v>0.25</v>
      </c>
      <c r="D577" s="325">
        <v>0.25</v>
      </c>
      <c r="E577" s="325" t="s">
        <v>747</v>
      </c>
      <c r="F577" s="325">
        <v>0.1</v>
      </c>
      <c r="G577" s="324">
        <v>0.06</v>
      </c>
    </row>
    <row r="578" spans="1:7" x14ac:dyDescent="0.3">
      <c r="A578" s="326" t="s">
        <v>1244</v>
      </c>
      <c r="B578" s="325">
        <v>23464</v>
      </c>
      <c r="C578" s="325">
        <v>0.1</v>
      </c>
      <c r="D578" s="325">
        <v>0.15</v>
      </c>
      <c r="E578" s="325" t="s">
        <v>719</v>
      </c>
      <c r="F578" s="325">
        <v>7.0000000000000007E-2</v>
      </c>
      <c r="G578" s="324">
        <v>0.03</v>
      </c>
    </row>
    <row r="579" spans="1:7" x14ac:dyDescent="0.3">
      <c r="A579" s="326" t="s">
        <v>1243</v>
      </c>
      <c r="B579" s="325">
        <v>13468</v>
      </c>
      <c r="C579" s="325">
        <v>0.1</v>
      </c>
      <c r="D579" s="325">
        <v>0.15</v>
      </c>
      <c r="E579" s="325" t="s">
        <v>719</v>
      </c>
      <c r="F579" s="325">
        <v>0.04</v>
      </c>
      <c r="G579" s="324">
        <v>0.03</v>
      </c>
    </row>
    <row r="580" spans="1:7" x14ac:dyDescent="0.3">
      <c r="A580" s="326" t="s">
        <v>1242</v>
      </c>
      <c r="B580" s="325">
        <v>15464</v>
      </c>
      <c r="C580" s="325">
        <v>0.25</v>
      </c>
      <c r="D580" s="325">
        <v>0.3</v>
      </c>
      <c r="E580" s="325" t="s">
        <v>747</v>
      </c>
      <c r="F580" s="325">
        <v>0.16</v>
      </c>
      <c r="G580" s="324">
        <v>0.08</v>
      </c>
    </row>
    <row r="581" spans="1:7" x14ac:dyDescent="0.3">
      <c r="A581" s="326" t="s">
        <v>1241</v>
      </c>
      <c r="B581" s="325">
        <v>15466</v>
      </c>
      <c r="C581" s="325">
        <v>0.25</v>
      </c>
      <c r="D581" s="325">
        <v>0.25</v>
      </c>
      <c r="E581" s="325" t="s">
        <v>747</v>
      </c>
      <c r="F581" s="325">
        <v>0.16</v>
      </c>
      <c r="G581" s="324">
        <v>0.08</v>
      </c>
    </row>
    <row r="582" spans="1:7" x14ac:dyDescent="0.3">
      <c r="A582" s="326" t="s">
        <v>1240</v>
      </c>
      <c r="B582" s="325">
        <v>15469</v>
      </c>
      <c r="C582" s="325">
        <v>0.15</v>
      </c>
      <c r="D582" s="325">
        <v>0.2</v>
      </c>
      <c r="E582" s="325" t="s">
        <v>719</v>
      </c>
      <c r="F582" s="325">
        <v>0.1</v>
      </c>
      <c r="G582" s="324">
        <v>0.06</v>
      </c>
    </row>
    <row r="583" spans="1:7" x14ac:dyDescent="0.3">
      <c r="A583" s="326" t="s">
        <v>1239</v>
      </c>
      <c r="B583" s="325">
        <v>5467</v>
      </c>
      <c r="C583" s="325">
        <v>0.2</v>
      </c>
      <c r="D583" s="325">
        <v>0.25</v>
      </c>
      <c r="E583" s="325" t="s">
        <v>747</v>
      </c>
      <c r="F583" s="325">
        <v>0.14000000000000001</v>
      </c>
      <c r="G583" s="324">
        <v>0.08</v>
      </c>
    </row>
    <row r="584" spans="1:7" x14ac:dyDescent="0.3">
      <c r="A584" s="326" t="s">
        <v>1238</v>
      </c>
      <c r="B584" s="325">
        <v>13458</v>
      </c>
      <c r="C584" s="325">
        <v>0.15</v>
      </c>
      <c r="D584" s="325">
        <v>0.15</v>
      </c>
      <c r="E584" s="325" t="s">
        <v>719</v>
      </c>
      <c r="F584" s="325">
        <v>0.08</v>
      </c>
      <c r="G584" s="324">
        <v>0.04</v>
      </c>
    </row>
    <row r="585" spans="1:7" x14ac:dyDescent="0.3">
      <c r="A585" s="326" t="s">
        <v>1237</v>
      </c>
      <c r="B585" s="325">
        <v>23466</v>
      </c>
      <c r="C585" s="325">
        <v>0.15</v>
      </c>
      <c r="D585" s="325">
        <v>0.2</v>
      </c>
      <c r="E585" s="325" t="s">
        <v>719</v>
      </c>
      <c r="F585" s="325">
        <v>0.08</v>
      </c>
      <c r="G585" s="324">
        <v>0.04</v>
      </c>
    </row>
    <row r="586" spans="1:7" x14ac:dyDescent="0.3">
      <c r="A586" s="326" t="s">
        <v>1236</v>
      </c>
      <c r="B586" s="325">
        <v>63470</v>
      </c>
      <c r="C586" s="325">
        <v>0.25</v>
      </c>
      <c r="D586" s="325">
        <v>0.25</v>
      </c>
      <c r="E586" s="325" t="s">
        <v>747</v>
      </c>
      <c r="F586" s="325">
        <v>0.19</v>
      </c>
      <c r="G586" s="324">
        <v>0.1</v>
      </c>
    </row>
    <row r="587" spans="1:7" x14ac:dyDescent="0.3">
      <c r="A587" s="326" t="s">
        <v>1235</v>
      </c>
      <c r="B587" s="325">
        <v>23001</v>
      </c>
      <c r="C587" s="325">
        <v>0.1</v>
      </c>
      <c r="D587" s="325">
        <v>0.15</v>
      </c>
      <c r="E587" s="325" t="s">
        <v>719</v>
      </c>
      <c r="F587" s="325">
        <v>7.0000000000000007E-2</v>
      </c>
      <c r="G587" s="324">
        <v>0.04</v>
      </c>
    </row>
    <row r="588" spans="1:7" x14ac:dyDescent="0.3">
      <c r="A588" s="326" t="s">
        <v>1234</v>
      </c>
      <c r="B588" s="325">
        <v>85162</v>
      </c>
      <c r="C588" s="325">
        <v>0.3</v>
      </c>
      <c r="D588" s="325">
        <v>0.25</v>
      </c>
      <c r="E588" s="325" t="s">
        <v>747</v>
      </c>
      <c r="F588" s="325">
        <v>0.11</v>
      </c>
      <c r="G588" s="324">
        <v>0.05</v>
      </c>
    </row>
    <row r="589" spans="1:7" x14ac:dyDescent="0.3">
      <c r="A589" s="326" t="s">
        <v>1233</v>
      </c>
      <c r="B589" s="325">
        <v>23500</v>
      </c>
      <c r="C589" s="325">
        <v>0.1</v>
      </c>
      <c r="D589" s="325">
        <v>0.15</v>
      </c>
      <c r="E589" s="325" t="s">
        <v>719</v>
      </c>
      <c r="F589" s="325">
        <v>0.05</v>
      </c>
      <c r="G589" s="324">
        <v>0.03</v>
      </c>
    </row>
    <row r="590" spans="1:7" x14ac:dyDescent="0.3">
      <c r="A590" s="326" t="s">
        <v>1232</v>
      </c>
      <c r="B590" s="325">
        <v>19473</v>
      </c>
      <c r="C590" s="325">
        <v>0.25</v>
      </c>
      <c r="D590" s="325">
        <v>0.2</v>
      </c>
      <c r="E590" s="325" t="s">
        <v>747</v>
      </c>
      <c r="F590" s="325">
        <v>0.16</v>
      </c>
      <c r="G590" s="324">
        <v>0.08</v>
      </c>
    </row>
    <row r="591" spans="1:7" x14ac:dyDescent="0.3">
      <c r="A591" s="326" t="s">
        <v>1232</v>
      </c>
      <c r="B591" s="325">
        <v>13473</v>
      </c>
      <c r="C591" s="325">
        <v>0.15</v>
      </c>
      <c r="D591" s="325">
        <v>0.15</v>
      </c>
      <c r="E591" s="325" t="s">
        <v>719</v>
      </c>
      <c r="F591" s="325">
        <v>7.0000000000000007E-2</v>
      </c>
      <c r="G591" s="324">
        <v>0.04</v>
      </c>
    </row>
    <row r="592" spans="1:7" x14ac:dyDescent="0.3">
      <c r="A592" s="326" t="s">
        <v>1231</v>
      </c>
      <c r="B592" s="325">
        <v>18479</v>
      </c>
      <c r="C592" s="325">
        <v>0.15</v>
      </c>
      <c r="D592" s="325">
        <v>0.15</v>
      </c>
      <c r="E592" s="325" t="s">
        <v>719</v>
      </c>
      <c r="F592" s="325">
        <v>0.06</v>
      </c>
      <c r="G592" s="324">
        <v>0.03</v>
      </c>
    </row>
    <row r="593" spans="1:7" x14ac:dyDescent="0.3">
      <c r="A593" s="326" t="s">
        <v>1230</v>
      </c>
      <c r="B593" s="325">
        <v>94888</v>
      </c>
      <c r="C593" s="325">
        <v>0.05</v>
      </c>
      <c r="D593" s="325">
        <v>0.05</v>
      </c>
      <c r="E593" s="325" t="s">
        <v>743</v>
      </c>
      <c r="F593" s="325">
        <v>0.04</v>
      </c>
      <c r="G593" s="324">
        <v>0.02</v>
      </c>
    </row>
    <row r="594" spans="1:7" x14ac:dyDescent="0.3">
      <c r="A594" s="326" t="s">
        <v>1229</v>
      </c>
      <c r="B594" s="325">
        <v>70473</v>
      </c>
      <c r="C594" s="325">
        <v>0.1</v>
      </c>
      <c r="D594" s="325">
        <v>0.15</v>
      </c>
      <c r="E594" s="325" t="s">
        <v>719</v>
      </c>
      <c r="F594" s="325">
        <v>7.0000000000000007E-2</v>
      </c>
      <c r="G594" s="324">
        <v>0.04</v>
      </c>
    </row>
    <row r="595" spans="1:7" x14ac:dyDescent="0.3">
      <c r="A595" s="326" t="s">
        <v>1228</v>
      </c>
      <c r="B595" s="325">
        <v>52473</v>
      </c>
      <c r="C595" s="325">
        <v>0.5</v>
      </c>
      <c r="D595" s="325">
        <v>0.4</v>
      </c>
      <c r="E595" s="325" t="s">
        <v>747</v>
      </c>
      <c r="F595" s="325">
        <v>0.16</v>
      </c>
      <c r="G595" s="324">
        <v>0.08</v>
      </c>
    </row>
    <row r="596" spans="1:7" x14ac:dyDescent="0.3">
      <c r="A596" s="326" t="s">
        <v>1228</v>
      </c>
      <c r="B596" s="325">
        <v>25473</v>
      </c>
      <c r="C596" s="325">
        <v>0.15</v>
      </c>
      <c r="D596" s="325">
        <v>0.2</v>
      </c>
      <c r="E596" s="325" t="s">
        <v>719</v>
      </c>
      <c r="F596" s="325">
        <v>0.1</v>
      </c>
      <c r="G596" s="324">
        <v>0.06</v>
      </c>
    </row>
    <row r="597" spans="1:7" x14ac:dyDescent="0.3">
      <c r="A597" s="326" t="s">
        <v>1227</v>
      </c>
      <c r="B597" s="325">
        <v>15476</v>
      </c>
      <c r="C597" s="325">
        <v>0.2</v>
      </c>
      <c r="D597" s="325">
        <v>0.2</v>
      </c>
      <c r="E597" s="325" t="s">
        <v>719</v>
      </c>
      <c r="F597" s="325">
        <v>0.11</v>
      </c>
      <c r="G597" s="324">
        <v>0.05</v>
      </c>
    </row>
    <row r="598" spans="1:7" x14ac:dyDescent="0.3">
      <c r="A598" s="326" t="s">
        <v>1226</v>
      </c>
      <c r="B598" s="325">
        <v>73461</v>
      </c>
      <c r="C598" s="325">
        <v>0.2</v>
      </c>
      <c r="D598" s="325">
        <v>0.2</v>
      </c>
      <c r="E598" s="325" t="s">
        <v>719</v>
      </c>
      <c r="F598" s="325">
        <v>0.15</v>
      </c>
      <c r="G598" s="324">
        <v>0.08</v>
      </c>
    </row>
    <row r="599" spans="1:7" x14ac:dyDescent="0.3">
      <c r="A599" s="326" t="s">
        <v>1225</v>
      </c>
      <c r="B599" s="325">
        <v>5475</v>
      </c>
      <c r="C599" s="325">
        <v>0.35</v>
      </c>
      <c r="D599" s="325">
        <v>0.35</v>
      </c>
      <c r="E599" s="325" t="s">
        <v>747</v>
      </c>
      <c r="F599" s="325">
        <v>0.25</v>
      </c>
      <c r="G599" s="324">
        <v>0.13</v>
      </c>
    </row>
    <row r="600" spans="1:7" x14ac:dyDescent="0.3">
      <c r="A600" s="326" t="s">
        <v>1224</v>
      </c>
      <c r="B600" s="325">
        <v>5480</v>
      </c>
      <c r="C600" s="325">
        <v>0.25</v>
      </c>
      <c r="D600" s="325">
        <v>0.3</v>
      </c>
      <c r="E600" s="325" t="s">
        <v>747</v>
      </c>
      <c r="F600" s="325">
        <v>0.16</v>
      </c>
      <c r="G600" s="324">
        <v>0.09</v>
      </c>
    </row>
    <row r="601" spans="1:7" x14ac:dyDescent="0.3">
      <c r="A601" s="326" t="s">
        <v>1223</v>
      </c>
      <c r="B601" s="325">
        <v>54480</v>
      </c>
      <c r="C601" s="325">
        <v>0.3</v>
      </c>
      <c r="D601" s="325">
        <v>0.25</v>
      </c>
      <c r="E601" s="325" t="s">
        <v>747</v>
      </c>
      <c r="F601" s="325">
        <v>0.08</v>
      </c>
      <c r="G601" s="324">
        <v>0.04</v>
      </c>
    </row>
    <row r="602" spans="1:7" x14ac:dyDescent="0.3">
      <c r="A602" s="326" t="s">
        <v>1222</v>
      </c>
      <c r="B602" s="325">
        <v>15480</v>
      </c>
      <c r="C602" s="325">
        <v>0.15</v>
      </c>
      <c r="D602" s="325">
        <v>0.15</v>
      </c>
      <c r="E602" s="325" t="s">
        <v>719</v>
      </c>
      <c r="F602" s="325">
        <v>0.15</v>
      </c>
      <c r="G602" s="324">
        <v>0.08</v>
      </c>
    </row>
    <row r="603" spans="1:7" x14ac:dyDescent="0.3">
      <c r="A603" s="326" t="s">
        <v>1221</v>
      </c>
      <c r="B603" s="325">
        <v>52480</v>
      </c>
      <c r="C603" s="325">
        <v>0.25</v>
      </c>
      <c r="D603" s="325">
        <v>0.25</v>
      </c>
      <c r="E603" s="325" t="s">
        <v>747</v>
      </c>
      <c r="F603" s="325">
        <v>0.16</v>
      </c>
      <c r="G603" s="324">
        <v>0.08</v>
      </c>
    </row>
    <row r="604" spans="1:7" x14ac:dyDescent="0.3">
      <c r="A604" s="326" t="s">
        <v>1221</v>
      </c>
      <c r="B604" s="325">
        <v>5483</v>
      </c>
      <c r="C604" s="325">
        <v>0.2</v>
      </c>
      <c r="D604" s="325">
        <v>0.2</v>
      </c>
      <c r="E604" s="325" t="s">
        <v>719</v>
      </c>
      <c r="F604" s="325">
        <v>0.12</v>
      </c>
      <c r="G604" s="324">
        <v>7.0000000000000007E-2</v>
      </c>
    </row>
    <row r="605" spans="1:7" x14ac:dyDescent="0.3">
      <c r="A605" s="326" t="s">
        <v>1221</v>
      </c>
      <c r="B605" s="325">
        <v>25483</v>
      </c>
      <c r="C605" s="325">
        <v>0.2</v>
      </c>
      <c r="D605" s="325">
        <v>0.2</v>
      </c>
      <c r="E605" s="325" t="s">
        <v>719</v>
      </c>
      <c r="F605" s="325">
        <v>0.13</v>
      </c>
      <c r="G605" s="324">
        <v>0.06</v>
      </c>
    </row>
    <row r="606" spans="1:7" x14ac:dyDescent="0.3">
      <c r="A606" s="326" t="s">
        <v>1220</v>
      </c>
      <c r="B606" s="325">
        <v>41483</v>
      </c>
      <c r="C606" s="325">
        <v>0.25</v>
      </c>
      <c r="D606" s="325">
        <v>0.2</v>
      </c>
      <c r="E606" s="325" t="s">
        <v>747</v>
      </c>
      <c r="F606" s="325">
        <v>0.19</v>
      </c>
      <c r="G606" s="324">
        <v>7.0000000000000007E-2</v>
      </c>
    </row>
    <row r="607" spans="1:7" x14ac:dyDescent="0.3">
      <c r="A607" s="326" t="s">
        <v>1219</v>
      </c>
      <c r="B607" s="325">
        <v>73483</v>
      </c>
      <c r="C607" s="325">
        <v>0.25</v>
      </c>
      <c r="D607" s="325">
        <v>0.25</v>
      </c>
      <c r="E607" s="325" t="s">
        <v>747</v>
      </c>
      <c r="F607" s="325">
        <v>0.11</v>
      </c>
      <c r="G607" s="324">
        <v>0.06</v>
      </c>
    </row>
    <row r="608" spans="1:7" x14ac:dyDescent="0.3">
      <c r="A608" s="326" t="s">
        <v>1218</v>
      </c>
      <c r="B608" s="325">
        <v>5495</v>
      </c>
      <c r="C608" s="325">
        <v>0.15</v>
      </c>
      <c r="D608" s="325">
        <v>0.15</v>
      </c>
      <c r="E608" s="325" t="s">
        <v>719</v>
      </c>
      <c r="F608" s="325">
        <v>0.05</v>
      </c>
      <c r="G608" s="324">
        <v>0.03</v>
      </c>
    </row>
    <row r="609" spans="1:7" x14ac:dyDescent="0.3">
      <c r="A609" s="326" t="s">
        <v>1217</v>
      </c>
      <c r="B609" s="325">
        <v>5490</v>
      </c>
      <c r="C609" s="325">
        <v>0.2</v>
      </c>
      <c r="D609" s="325">
        <v>0.2</v>
      </c>
      <c r="E609" s="325" t="s">
        <v>719</v>
      </c>
      <c r="F609" s="325">
        <v>0.15</v>
      </c>
      <c r="G609" s="324">
        <v>7.0000000000000007E-2</v>
      </c>
    </row>
    <row r="610" spans="1:7" x14ac:dyDescent="0.3">
      <c r="A610" s="326" t="s">
        <v>1216</v>
      </c>
      <c r="B610" s="325">
        <v>17486</v>
      </c>
      <c r="C610" s="325">
        <v>0.25</v>
      </c>
      <c r="D610" s="325">
        <v>0.25</v>
      </c>
      <c r="E610" s="325" t="s">
        <v>747</v>
      </c>
      <c r="F610" s="325">
        <v>0.19</v>
      </c>
      <c r="G610" s="324">
        <v>0.1</v>
      </c>
    </row>
    <row r="611" spans="1:7" x14ac:dyDescent="0.3">
      <c r="A611" s="326" t="s">
        <v>1215</v>
      </c>
      <c r="B611" s="325">
        <v>41001</v>
      </c>
      <c r="C611" s="325">
        <v>0.25</v>
      </c>
      <c r="D611" s="325">
        <v>0.25</v>
      </c>
      <c r="E611" s="325" t="s">
        <v>747</v>
      </c>
      <c r="F611" s="325">
        <v>0.2</v>
      </c>
      <c r="G611" s="324">
        <v>0.08</v>
      </c>
    </row>
    <row r="612" spans="1:7" x14ac:dyDescent="0.3">
      <c r="A612" s="326" t="s">
        <v>1214</v>
      </c>
      <c r="B612" s="325">
        <v>25486</v>
      </c>
      <c r="C612" s="325">
        <v>0.15</v>
      </c>
      <c r="D612" s="325">
        <v>0.2</v>
      </c>
      <c r="E612" s="325" t="s">
        <v>719</v>
      </c>
      <c r="F612" s="325">
        <v>0.09</v>
      </c>
      <c r="G612" s="324">
        <v>0.05</v>
      </c>
    </row>
    <row r="613" spans="1:7" x14ac:dyDescent="0.3">
      <c r="A613" s="326" t="s">
        <v>1213</v>
      </c>
      <c r="B613" s="325">
        <v>25488</v>
      </c>
      <c r="C613" s="325">
        <v>0.2</v>
      </c>
      <c r="D613" s="325">
        <v>0.2</v>
      </c>
      <c r="E613" s="325" t="s">
        <v>719</v>
      </c>
      <c r="F613" s="325">
        <v>0.1</v>
      </c>
      <c r="G613" s="324">
        <v>0.05</v>
      </c>
    </row>
    <row r="614" spans="1:7" x14ac:dyDescent="0.3">
      <c r="A614" s="326" t="s">
        <v>1212</v>
      </c>
      <c r="B614" s="325">
        <v>25489</v>
      </c>
      <c r="C614" s="325">
        <v>0.15</v>
      </c>
      <c r="D614" s="325">
        <v>0.2</v>
      </c>
      <c r="E614" s="325" t="s">
        <v>719</v>
      </c>
      <c r="F614" s="325">
        <v>0.14000000000000001</v>
      </c>
      <c r="G614" s="324">
        <v>0.06</v>
      </c>
    </row>
    <row r="615" spans="1:7" x14ac:dyDescent="0.3">
      <c r="A615" s="326" t="s">
        <v>1211</v>
      </c>
      <c r="B615" s="325">
        <v>15491</v>
      </c>
      <c r="C615" s="325">
        <v>0.25</v>
      </c>
      <c r="D615" s="325">
        <v>0.25</v>
      </c>
      <c r="E615" s="325" t="s">
        <v>747</v>
      </c>
      <c r="F615" s="325">
        <v>0.16</v>
      </c>
      <c r="G615" s="324">
        <v>0.08</v>
      </c>
    </row>
    <row r="616" spans="1:7" x14ac:dyDescent="0.3">
      <c r="A616" s="326" t="s">
        <v>1210</v>
      </c>
      <c r="B616" s="325">
        <v>25491</v>
      </c>
      <c r="C616" s="325">
        <v>0.15</v>
      </c>
      <c r="D616" s="325">
        <v>0.2</v>
      </c>
      <c r="E616" s="325" t="s">
        <v>719</v>
      </c>
      <c r="F616" s="325">
        <v>0.14000000000000001</v>
      </c>
      <c r="G616" s="324">
        <v>0.06</v>
      </c>
    </row>
    <row r="617" spans="1:7" x14ac:dyDescent="0.3">
      <c r="A617" s="326" t="s">
        <v>1209</v>
      </c>
      <c r="B617" s="325">
        <v>17495</v>
      </c>
      <c r="C617" s="325">
        <v>0.15</v>
      </c>
      <c r="D617" s="325">
        <v>0.2</v>
      </c>
      <c r="E617" s="325" t="s">
        <v>719</v>
      </c>
      <c r="F617" s="325">
        <v>0.15</v>
      </c>
      <c r="G617" s="324">
        <v>7.0000000000000007E-2</v>
      </c>
    </row>
    <row r="618" spans="1:7" x14ac:dyDescent="0.3">
      <c r="A618" s="326" t="s">
        <v>1792</v>
      </c>
      <c r="B618" s="325">
        <v>13490</v>
      </c>
      <c r="C618" s="325">
        <v>0.15</v>
      </c>
      <c r="D618" s="325">
        <v>0.15</v>
      </c>
      <c r="E618" s="325" t="s">
        <v>719</v>
      </c>
      <c r="F618" s="325">
        <v>7.0000000000000007E-2</v>
      </c>
      <c r="G618" s="324">
        <v>0.04</v>
      </c>
    </row>
    <row r="619" spans="1:7" x14ac:dyDescent="0.3">
      <c r="A619" s="326" t="s">
        <v>1208</v>
      </c>
      <c r="B619" s="325">
        <v>27491</v>
      </c>
      <c r="C619" s="325">
        <v>0.4</v>
      </c>
      <c r="D619" s="325">
        <v>0.35</v>
      </c>
      <c r="E619" s="325" t="s">
        <v>747</v>
      </c>
      <c r="F619" s="325">
        <v>0.24</v>
      </c>
      <c r="G619" s="324">
        <v>0.1</v>
      </c>
    </row>
    <row r="620" spans="1:7" x14ac:dyDescent="0.3">
      <c r="A620" s="326" t="s">
        <v>1207</v>
      </c>
      <c r="B620" s="325">
        <v>47460</v>
      </c>
      <c r="C620" s="325">
        <v>0.1</v>
      </c>
      <c r="D620" s="325">
        <v>0.1</v>
      </c>
      <c r="E620" s="325" t="s">
        <v>743</v>
      </c>
      <c r="F620" s="325">
        <v>0.04</v>
      </c>
      <c r="G620" s="324">
        <v>0.02</v>
      </c>
    </row>
    <row r="621" spans="1:7" x14ac:dyDescent="0.3">
      <c r="A621" s="326" t="s">
        <v>1206</v>
      </c>
      <c r="B621" s="325">
        <v>15494</v>
      </c>
      <c r="C621" s="325">
        <v>0.2</v>
      </c>
      <c r="D621" s="325">
        <v>0.2</v>
      </c>
      <c r="E621" s="325" t="s">
        <v>719</v>
      </c>
      <c r="F621" s="325">
        <v>0.13</v>
      </c>
      <c r="G621" s="324">
        <v>0.06</v>
      </c>
    </row>
    <row r="622" spans="1:7" x14ac:dyDescent="0.3">
      <c r="A622" s="326" t="s">
        <v>1205</v>
      </c>
      <c r="B622" s="325">
        <v>85225</v>
      </c>
      <c r="C622" s="325">
        <v>0.2</v>
      </c>
      <c r="D622" s="325">
        <v>0.2</v>
      </c>
      <c r="E622" s="325" t="s">
        <v>719</v>
      </c>
      <c r="F622" s="325">
        <v>0.09</v>
      </c>
      <c r="G622" s="324">
        <v>0.04</v>
      </c>
    </row>
    <row r="623" spans="1:7" x14ac:dyDescent="0.3">
      <c r="A623" s="326" t="s">
        <v>1204</v>
      </c>
      <c r="B623" s="325">
        <v>27495</v>
      </c>
      <c r="C623" s="325">
        <v>0.45</v>
      </c>
      <c r="D623" s="325">
        <v>0.4</v>
      </c>
      <c r="E623" s="325" t="s">
        <v>747</v>
      </c>
      <c r="F623" s="325">
        <v>0.24</v>
      </c>
      <c r="G623" s="324">
        <v>0.1</v>
      </c>
    </row>
    <row r="624" spans="1:7" x14ac:dyDescent="0.3">
      <c r="A624" s="326" t="s">
        <v>1203</v>
      </c>
      <c r="B624" s="325">
        <v>76497</v>
      </c>
      <c r="C624" s="325">
        <v>0.25</v>
      </c>
      <c r="D624" s="325">
        <v>0.25</v>
      </c>
      <c r="E624" s="325" t="s">
        <v>747</v>
      </c>
      <c r="F624" s="325">
        <v>0.16</v>
      </c>
      <c r="G624" s="324">
        <v>0.1</v>
      </c>
    </row>
    <row r="625" spans="1:7" x14ac:dyDescent="0.3">
      <c r="A625" s="326" t="s">
        <v>1202</v>
      </c>
      <c r="B625" s="325">
        <v>68498</v>
      </c>
      <c r="C625" s="325">
        <v>0.2</v>
      </c>
      <c r="D625" s="325">
        <v>0.25</v>
      </c>
      <c r="E625" s="325" t="s">
        <v>747</v>
      </c>
      <c r="F625" s="325">
        <v>0.08</v>
      </c>
      <c r="G625" s="324">
        <v>0.05</v>
      </c>
    </row>
    <row r="626" spans="1:7" x14ac:dyDescent="0.3">
      <c r="A626" s="326" t="s">
        <v>1201</v>
      </c>
      <c r="B626" s="325">
        <v>54498</v>
      </c>
      <c r="C626" s="325">
        <v>0.2</v>
      </c>
      <c r="D626" s="325">
        <v>0.15</v>
      </c>
      <c r="E626" s="325" t="s">
        <v>719</v>
      </c>
      <c r="F626" s="325">
        <v>0.08</v>
      </c>
      <c r="G626" s="324">
        <v>0.03</v>
      </c>
    </row>
    <row r="627" spans="1:7" x14ac:dyDescent="0.3">
      <c r="A627" s="326" t="s">
        <v>1200</v>
      </c>
      <c r="B627" s="325">
        <v>68500</v>
      </c>
      <c r="C627" s="325">
        <v>0.2</v>
      </c>
      <c r="D627" s="325">
        <v>0.2</v>
      </c>
      <c r="E627" s="325" t="s">
        <v>719</v>
      </c>
      <c r="F627" s="325">
        <v>0.09</v>
      </c>
      <c r="G627" s="324">
        <v>0.06</v>
      </c>
    </row>
    <row r="628" spans="1:7" x14ac:dyDescent="0.3">
      <c r="A628" s="326" t="s">
        <v>1199</v>
      </c>
      <c r="B628" s="325">
        <v>15500</v>
      </c>
      <c r="C628" s="325">
        <v>0.2</v>
      </c>
      <c r="D628" s="325">
        <v>0.2</v>
      </c>
      <c r="E628" s="325" t="s">
        <v>719</v>
      </c>
      <c r="F628" s="325">
        <v>0.13</v>
      </c>
      <c r="G628" s="324">
        <v>0.06</v>
      </c>
    </row>
    <row r="629" spans="1:7" x14ac:dyDescent="0.3">
      <c r="A629" s="326" t="s">
        <v>1198</v>
      </c>
      <c r="B629" s="325">
        <v>5501</v>
      </c>
      <c r="C629" s="325">
        <v>0.15</v>
      </c>
      <c r="D629" s="325">
        <v>0.2</v>
      </c>
      <c r="E629" s="325" t="s">
        <v>719</v>
      </c>
      <c r="F629" s="325">
        <v>0.15</v>
      </c>
      <c r="G629" s="324">
        <v>7.0000000000000007E-2</v>
      </c>
    </row>
    <row r="630" spans="1:7" x14ac:dyDescent="0.3">
      <c r="A630" s="326" t="s">
        <v>1197</v>
      </c>
      <c r="B630" s="325">
        <v>52490</v>
      </c>
      <c r="C630" s="325">
        <v>0.5</v>
      </c>
      <c r="D630" s="325">
        <v>0.4</v>
      </c>
      <c r="E630" s="325" t="s">
        <v>747</v>
      </c>
      <c r="F630" s="325">
        <v>0.16</v>
      </c>
      <c r="G630" s="324">
        <v>0.08</v>
      </c>
    </row>
    <row r="631" spans="1:7" x14ac:dyDescent="0.3">
      <c r="A631" s="326" t="s">
        <v>1196</v>
      </c>
      <c r="B631" s="325">
        <v>68502</v>
      </c>
      <c r="C631" s="325">
        <v>0.25</v>
      </c>
      <c r="D631" s="325">
        <v>0.25</v>
      </c>
      <c r="E631" s="325" t="s">
        <v>747</v>
      </c>
      <c r="F631" s="325">
        <v>0.13</v>
      </c>
      <c r="G631" s="324">
        <v>7.0000000000000007E-2</v>
      </c>
    </row>
    <row r="632" spans="1:7" x14ac:dyDescent="0.3">
      <c r="A632" s="326" t="s">
        <v>1195</v>
      </c>
      <c r="B632" s="325">
        <v>41503</v>
      </c>
      <c r="C632" s="325">
        <v>0.3</v>
      </c>
      <c r="D632" s="325">
        <v>0.15</v>
      </c>
      <c r="E632" s="325" t="s">
        <v>747</v>
      </c>
      <c r="F632" s="325">
        <v>0.2</v>
      </c>
      <c r="G632" s="324">
        <v>0.08</v>
      </c>
    </row>
    <row r="633" spans="1:7" x14ac:dyDescent="0.3">
      <c r="A633" s="326" t="s">
        <v>1194</v>
      </c>
      <c r="B633" s="325">
        <v>86320</v>
      </c>
      <c r="C633" s="325">
        <v>0.3</v>
      </c>
      <c r="D633" s="325">
        <v>0.25</v>
      </c>
      <c r="E633" s="325" t="s">
        <v>747</v>
      </c>
      <c r="F633" s="325">
        <v>0.08</v>
      </c>
      <c r="G633" s="324">
        <v>0.05</v>
      </c>
    </row>
    <row r="634" spans="1:7" x14ac:dyDescent="0.3">
      <c r="A634" s="326" t="s">
        <v>1193</v>
      </c>
      <c r="B634" s="325">
        <v>85230</v>
      </c>
      <c r="C634" s="325">
        <v>0.05</v>
      </c>
      <c r="D634" s="325">
        <v>0.15</v>
      </c>
      <c r="E634" s="325" t="s">
        <v>719</v>
      </c>
      <c r="F634" s="325">
        <v>0.04</v>
      </c>
      <c r="G634" s="324">
        <v>0.02</v>
      </c>
    </row>
    <row r="635" spans="1:7" x14ac:dyDescent="0.3">
      <c r="A635" s="326" t="s">
        <v>1192</v>
      </c>
      <c r="B635" s="325">
        <v>73504</v>
      </c>
      <c r="C635" s="325">
        <v>0.25</v>
      </c>
      <c r="D635" s="325">
        <v>0.2</v>
      </c>
      <c r="E635" s="325" t="s">
        <v>747</v>
      </c>
      <c r="F635" s="325">
        <v>0.08</v>
      </c>
      <c r="G635" s="324">
        <v>0.05</v>
      </c>
    </row>
    <row r="636" spans="1:7" x14ac:dyDescent="0.3">
      <c r="A636" s="326" t="s">
        <v>1191</v>
      </c>
      <c r="B636" s="325">
        <v>52506</v>
      </c>
      <c r="C636" s="325">
        <v>0.25</v>
      </c>
      <c r="D636" s="325">
        <v>0.25</v>
      </c>
      <c r="E636" s="325" t="s">
        <v>747</v>
      </c>
      <c r="F636" s="325">
        <v>0.12</v>
      </c>
      <c r="G636" s="324">
        <v>0.08</v>
      </c>
    </row>
    <row r="637" spans="1:7" x14ac:dyDescent="0.3">
      <c r="A637" s="326" t="s">
        <v>1190</v>
      </c>
      <c r="B637" s="325">
        <v>15507</v>
      </c>
      <c r="C637" s="325">
        <v>0.15</v>
      </c>
      <c r="D637" s="325">
        <v>0.15</v>
      </c>
      <c r="E637" s="325" t="s">
        <v>719</v>
      </c>
      <c r="F637" s="325">
        <v>0.16</v>
      </c>
      <c r="G637" s="324">
        <v>0.08</v>
      </c>
    </row>
    <row r="638" spans="1:7" x14ac:dyDescent="0.3">
      <c r="A638" s="326" t="s">
        <v>1189</v>
      </c>
      <c r="B638" s="325">
        <v>70508</v>
      </c>
      <c r="C638" s="325">
        <v>0.1</v>
      </c>
      <c r="D638" s="325">
        <v>0.15</v>
      </c>
      <c r="E638" s="325" t="s">
        <v>719</v>
      </c>
      <c r="F638" s="325">
        <v>0.06</v>
      </c>
      <c r="G638" s="324">
        <v>0.04</v>
      </c>
    </row>
    <row r="639" spans="1:7" x14ac:dyDescent="0.3">
      <c r="A639" s="326" t="s">
        <v>1188</v>
      </c>
      <c r="B639" s="325">
        <v>15511</v>
      </c>
      <c r="C639" s="325">
        <v>0.2</v>
      </c>
      <c r="D639" s="325">
        <v>0.25</v>
      </c>
      <c r="E639" s="325" t="s">
        <v>747</v>
      </c>
      <c r="F639" s="325">
        <v>0.16</v>
      </c>
      <c r="G639" s="324">
        <v>7.0000000000000007E-2</v>
      </c>
    </row>
    <row r="640" spans="1:7" x14ac:dyDescent="0.3">
      <c r="A640" s="326" t="s">
        <v>1187</v>
      </c>
      <c r="B640" s="325">
        <v>25513</v>
      </c>
      <c r="C640" s="325">
        <v>0.15</v>
      </c>
      <c r="D640" s="325">
        <v>0.2</v>
      </c>
      <c r="E640" s="325" t="s">
        <v>719</v>
      </c>
      <c r="F640" s="325">
        <v>0.1</v>
      </c>
      <c r="G640" s="324">
        <v>0.06</v>
      </c>
    </row>
    <row r="641" spans="1:7" x14ac:dyDescent="0.3">
      <c r="A641" s="326" t="s">
        <v>1186</v>
      </c>
      <c r="B641" s="325">
        <v>97511</v>
      </c>
      <c r="C641" s="325">
        <v>0.05</v>
      </c>
      <c r="D641" s="325">
        <v>0.05</v>
      </c>
      <c r="E641" s="325" t="s">
        <v>743</v>
      </c>
      <c r="F641" s="325">
        <v>0.04</v>
      </c>
      <c r="G641" s="324">
        <v>0.02</v>
      </c>
    </row>
    <row r="642" spans="1:7" x14ac:dyDescent="0.3">
      <c r="A642" s="326" t="s">
        <v>1185</v>
      </c>
      <c r="B642" s="325">
        <v>17513</v>
      </c>
      <c r="C642" s="325">
        <v>0.25</v>
      </c>
      <c r="D642" s="325">
        <v>0.25</v>
      </c>
      <c r="E642" s="325" t="s">
        <v>747</v>
      </c>
      <c r="F642" s="325">
        <v>0.2</v>
      </c>
      <c r="G642" s="324">
        <v>0.1</v>
      </c>
    </row>
    <row r="643" spans="1:7" x14ac:dyDescent="0.3">
      <c r="A643" s="326" t="s">
        <v>1184</v>
      </c>
      <c r="B643" s="325">
        <v>19513</v>
      </c>
      <c r="C643" s="325">
        <v>0.25</v>
      </c>
      <c r="D643" s="325">
        <v>0.2</v>
      </c>
      <c r="E643" s="325" t="s">
        <v>747</v>
      </c>
      <c r="F643" s="325">
        <v>0.16</v>
      </c>
      <c r="G643" s="324">
        <v>7.0000000000000007E-2</v>
      </c>
    </row>
    <row r="644" spans="1:7" x14ac:dyDescent="0.3">
      <c r="A644" s="326" t="s">
        <v>1183</v>
      </c>
      <c r="B644" s="325">
        <v>15514</v>
      </c>
      <c r="C644" s="325">
        <v>0.3</v>
      </c>
      <c r="D644" s="325">
        <v>0.3</v>
      </c>
      <c r="E644" s="325" t="s">
        <v>747</v>
      </c>
      <c r="F644" s="325">
        <v>0.16</v>
      </c>
      <c r="G644" s="324">
        <v>0.08</v>
      </c>
    </row>
    <row r="645" spans="1:7" x14ac:dyDescent="0.3">
      <c r="A645" s="326" t="s">
        <v>1183</v>
      </c>
      <c r="B645" s="325">
        <v>19517</v>
      </c>
      <c r="C645" s="325">
        <v>0.25</v>
      </c>
      <c r="D645" s="325">
        <v>0.2</v>
      </c>
      <c r="E645" s="325" t="s">
        <v>747</v>
      </c>
      <c r="F645" s="325">
        <v>0.11</v>
      </c>
      <c r="G645" s="324">
        <v>0.05</v>
      </c>
    </row>
    <row r="646" spans="1:7" x14ac:dyDescent="0.3">
      <c r="A646" s="326" t="s">
        <v>1182</v>
      </c>
      <c r="B646" s="325">
        <v>41518</v>
      </c>
      <c r="C646" s="325">
        <v>0.25</v>
      </c>
      <c r="D646" s="325">
        <v>0.2</v>
      </c>
      <c r="E646" s="325" t="s">
        <v>747</v>
      </c>
      <c r="F646" s="325">
        <v>0.2</v>
      </c>
      <c r="G646" s="324">
        <v>0.08</v>
      </c>
    </row>
    <row r="647" spans="1:7" x14ac:dyDescent="0.3">
      <c r="A647" s="326" t="s">
        <v>1181</v>
      </c>
      <c r="B647" s="325">
        <v>20517</v>
      </c>
      <c r="C647" s="325">
        <v>0.15</v>
      </c>
      <c r="D647" s="325">
        <v>0.1</v>
      </c>
      <c r="E647" s="325" t="s">
        <v>719</v>
      </c>
      <c r="F647" s="325">
        <v>0.08</v>
      </c>
      <c r="G647" s="324">
        <v>0.04</v>
      </c>
    </row>
    <row r="648" spans="1:7" x14ac:dyDescent="0.3">
      <c r="A648" s="326" t="s">
        <v>1180</v>
      </c>
      <c r="B648" s="325">
        <v>25518</v>
      </c>
      <c r="C648" s="325">
        <v>0.15</v>
      </c>
      <c r="D648" s="325">
        <v>0.15</v>
      </c>
      <c r="E648" s="325" t="s">
        <v>719</v>
      </c>
      <c r="F648" s="325">
        <v>0.12</v>
      </c>
      <c r="G648" s="324">
        <v>0.06</v>
      </c>
    </row>
    <row r="649" spans="1:7" x14ac:dyDescent="0.3">
      <c r="A649" s="326" t="s">
        <v>1179</v>
      </c>
      <c r="B649" s="325">
        <v>15516</v>
      </c>
      <c r="C649" s="325">
        <v>0.2</v>
      </c>
      <c r="D649" s="325">
        <v>0.25</v>
      </c>
      <c r="E649" s="325" t="s">
        <v>747</v>
      </c>
      <c r="F649" s="325">
        <v>0.12</v>
      </c>
      <c r="G649" s="324">
        <v>0.06</v>
      </c>
    </row>
    <row r="650" spans="1:7" x14ac:dyDescent="0.3">
      <c r="A650" s="326" t="s">
        <v>1178</v>
      </c>
      <c r="B650" s="325">
        <v>15518</v>
      </c>
      <c r="C650" s="325">
        <v>0.3</v>
      </c>
      <c r="D650" s="325">
        <v>0.25</v>
      </c>
      <c r="E650" s="325" t="s">
        <v>747</v>
      </c>
      <c r="F650" s="325">
        <v>0.16</v>
      </c>
      <c r="G650" s="324">
        <v>0.08</v>
      </c>
    </row>
    <row r="651" spans="1:7" x14ac:dyDescent="0.3">
      <c r="A651" s="326" t="s">
        <v>1177</v>
      </c>
      <c r="B651" s="325">
        <v>41524</v>
      </c>
      <c r="C651" s="325">
        <v>0.25</v>
      </c>
      <c r="D651" s="325">
        <v>0.25</v>
      </c>
      <c r="E651" s="325" t="s">
        <v>747</v>
      </c>
      <c r="F651" s="325">
        <v>0.18</v>
      </c>
      <c r="G651" s="324">
        <v>7.0000000000000007E-2</v>
      </c>
    </row>
    <row r="652" spans="1:7" x14ac:dyDescent="0.3">
      <c r="A652" s="326" t="s">
        <v>1176</v>
      </c>
      <c r="B652" s="325">
        <v>17524</v>
      </c>
      <c r="C652" s="325">
        <v>0.25</v>
      </c>
      <c r="D652" s="325">
        <v>0.25</v>
      </c>
      <c r="E652" s="325" t="s">
        <v>747</v>
      </c>
      <c r="F652" s="325">
        <v>0.2</v>
      </c>
      <c r="G652" s="324">
        <v>0.1</v>
      </c>
    </row>
    <row r="653" spans="1:7" x14ac:dyDescent="0.3">
      <c r="A653" s="326" t="s">
        <v>1176</v>
      </c>
      <c r="B653" s="325">
        <v>41530</v>
      </c>
      <c r="C653" s="325">
        <v>0.3</v>
      </c>
      <c r="D653" s="325">
        <v>0.2</v>
      </c>
      <c r="E653" s="325" t="s">
        <v>747</v>
      </c>
      <c r="F653" s="325">
        <v>0.2</v>
      </c>
      <c r="G653" s="324">
        <v>0.08</v>
      </c>
    </row>
    <row r="654" spans="1:7" x14ac:dyDescent="0.3">
      <c r="A654" s="326" t="s">
        <v>1175</v>
      </c>
      <c r="B654" s="325">
        <v>68522</v>
      </c>
      <c r="C654" s="325">
        <v>0.15</v>
      </c>
      <c r="D654" s="325">
        <v>0.2</v>
      </c>
      <c r="E654" s="325" t="s">
        <v>719</v>
      </c>
      <c r="F654" s="325">
        <v>0.15</v>
      </c>
      <c r="G654" s="324">
        <v>0.09</v>
      </c>
    </row>
    <row r="655" spans="1:7" x14ac:dyDescent="0.3">
      <c r="A655" s="326" t="s">
        <v>1174</v>
      </c>
      <c r="B655" s="325">
        <v>8520</v>
      </c>
      <c r="C655" s="325">
        <v>0.1</v>
      </c>
      <c r="D655" s="325">
        <v>0.1</v>
      </c>
      <c r="E655" s="325" t="s">
        <v>743</v>
      </c>
      <c r="F655" s="325">
        <v>0.08</v>
      </c>
      <c r="G655" s="324">
        <v>0.03</v>
      </c>
    </row>
    <row r="656" spans="1:7" x14ac:dyDescent="0.3">
      <c r="A656" s="326" t="s">
        <v>1173</v>
      </c>
      <c r="B656" s="325">
        <v>68524</v>
      </c>
      <c r="C656" s="325">
        <v>0.15</v>
      </c>
      <c r="D656" s="325">
        <v>0.2</v>
      </c>
      <c r="E656" s="325" t="s">
        <v>719</v>
      </c>
      <c r="F656" s="325">
        <v>0.11</v>
      </c>
      <c r="G656" s="324">
        <v>0.08</v>
      </c>
    </row>
    <row r="657" spans="1:7" x14ac:dyDescent="0.3">
      <c r="A657" s="326" t="s">
        <v>1172</v>
      </c>
      <c r="B657" s="325">
        <v>76520</v>
      </c>
      <c r="C657" s="325">
        <v>0.25</v>
      </c>
      <c r="D657" s="325">
        <v>0.2</v>
      </c>
      <c r="E657" s="325" t="s">
        <v>747</v>
      </c>
      <c r="F657" s="325">
        <v>0.12</v>
      </c>
      <c r="G657" s="324">
        <v>7.0000000000000007E-2</v>
      </c>
    </row>
    <row r="658" spans="1:7" x14ac:dyDescent="0.3">
      <c r="A658" s="326" t="s">
        <v>1171</v>
      </c>
      <c r="B658" s="325">
        <v>70523</v>
      </c>
      <c r="C658" s="325">
        <v>0.1</v>
      </c>
      <c r="D658" s="325">
        <v>0.15</v>
      </c>
      <c r="E658" s="325" t="s">
        <v>719</v>
      </c>
      <c r="F658" s="325">
        <v>0.05</v>
      </c>
      <c r="G658" s="324">
        <v>0.04</v>
      </c>
    </row>
    <row r="659" spans="1:7" x14ac:dyDescent="0.3">
      <c r="A659" s="326" t="s">
        <v>1170</v>
      </c>
      <c r="B659" s="325">
        <v>73520</v>
      </c>
      <c r="C659" s="325">
        <v>0.2</v>
      </c>
      <c r="D659" s="325">
        <v>0.2</v>
      </c>
      <c r="E659" s="325" t="s">
        <v>719</v>
      </c>
      <c r="F659" s="325">
        <v>0.13</v>
      </c>
      <c r="G659" s="324">
        <v>0.08</v>
      </c>
    </row>
    <row r="660" spans="1:7" x14ac:dyDescent="0.3">
      <c r="A660" s="326" t="s">
        <v>1169</v>
      </c>
      <c r="B660" s="325">
        <v>54518</v>
      </c>
      <c r="C660" s="325">
        <v>0.3</v>
      </c>
      <c r="D660" s="325">
        <v>0.25</v>
      </c>
      <c r="E660" s="325" t="s">
        <v>747</v>
      </c>
      <c r="F660" s="325">
        <v>0.1</v>
      </c>
      <c r="G660" s="324">
        <v>0.05</v>
      </c>
    </row>
    <row r="661" spans="1:7" x14ac:dyDescent="0.3">
      <c r="A661" s="326" t="s">
        <v>1168</v>
      </c>
      <c r="B661" s="325">
        <v>54520</v>
      </c>
      <c r="C661" s="325">
        <v>0.35</v>
      </c>
      <c r="D661" s="325">
        <v>0.25</v>
      </c>
      <c r="E661" s="325" t="s">
        <v>747</v>
      </c>
      <c r="F661" s="325">
        <v>0.13</v>
      </c>
      <c r="G661" s="324">
        <v>0.06</v>
      </c>
    </row>
    <row r="662" spans="1:7" x14ac:dyDescent="0.3">
      <c r="A662" s="326" t="s">
        <v>1167</v>
      </c>
      <c r="B662" s="325">
        <v>94887</v>
      </c>
      <c r="C662" s="325">
        <v>0.05</v>
      </c>
      <c r="D662" s="325">
        <v>0.05</v>
      </c>
      <c r="E662" s="325" t="s">
        <v>743</v>
      </c>
      <c r="F662" s="325">
        <v>0.04</v>
      </c>
      <c r="G662" s="324">
        <v>0.02</v>
      </c>
    </row>
    <row r="663" spans="1:7" x14ac:dyDescent="0.3">
      <c r="A663" s="326" t="s">
        <v>1166</v>
      </c>
      <c r="B663" s="325">
        <v>25524</v>
      </c>
      <c r="C663" s="325">
        <v>0.2</v>
      </c>
      <c r="D663" s="325">
        <v>0.2</v>
      </c>
      <c r="E663" s="325" t="s">
        <v>719</v>
      </c>
      <c r="F663" s="325">
        <v>0.09</v>
      </c>
      <c r="G663" s="324">
        <v>0.05</v>
      </c>
    </row>
    <row r="664" spans="1:7" x14ac:dyDescent="0.3">
      <c r="A664" s="326" t="s">
        <v>1165</v>
      </c>
      <c r="B664" s="325">
        <v>15522</v>
      </c>
      <c r="C664" s="325">
        <v>0.25</v>
      </c>
      <c r="D664" s="325">
        <v>0.3</v>
      </c>
      <c r="E664" s="325" t="s">
        <v>747</v>
      </c>
      <c r="F664" s="325">
        <v>0.16</v>
      </c>
      <c r="G664" s="324">
        <v>0.08</v>
      </c>
    </row>
    <row r="665" spans="1:7" x14ac:dyDescent="0.3">
      <c r="A665" s="326" t="s">
        <v>1164</v>
      </c>
      <c r="B665" s="325">
        <v>97777</v>
      </c>
      <c r="C665" s="325">
        <v>0.05</v>
      </c>
      <c r="D665" s="325">
        <v>0.05</v>
      </c>
      <c r="E665" s="325" t="s">
        <v>743</v>
      </c>
      <c r="F665" s="325">
        <v>0.04</v>
      </c>
      <c r="G665" s="324">
        <v>0.02</v>
      </c>
    </row>
    <row r="666" spans="1:7" x14ac:dyDescent="0.3">
      <c r="A666" s="326" t="s">
        <v>1163</v>
      </c>
      <c r="B666" s="325">
        <v>68533</v>
      </c>
      <c r="C666" s="325">
        <v>0.2</v>
      </c>
      <c r="D666" s="325">
        <v>0.25</v>
      </c>
      <c r="E666" s="325" t="s">
        <v>747</v>
      </c>
      <c r="F666" s="325">
        <v>0.09</v>
      </c>
      <c r="G666" s="324">
        <v>0.06</v>
      </c>
    </row>
    <row r="667" spans="1:7" x14ac:dyDescent="0.3">
      <c r="A667" s="326" t="s">
        <v>1162</v>
      </c>
      <c r="B667" s="325">
        <v>25530</v>
      </c>
      <c r="C667" s="325">
        <v>0.3</v>
      </c>
      <c r="D667" s="325">
        <v>0.25</v>
      </c>
      <c r="E667" s="325" t="s">
        <v>747</v>
      </c>
      <c r="F667" s="325">
        <v>0.09</v>
      </c>
      <c r="G667" s="324">
        <v>0.04</v>
      </c>
    </row>
    <row r="668" spans="1:7" x14ac:dyDescent="0.3">
      <c r="A668" s="326" t="s">
        <v>1161</v>
      </c>
      <c r="B668" s="325">
        <v>25535</v>
      </c>
      <c r="C668" s="325">
        <v>0.2</v>
      </c>
      <c r="D668" s="325">
        <v>0.2</v>
      </c>
      <c r="E668" s="325" t="s">
        <v>719</v>
      </c>
      <c r="F668" s="325">
        <v>0.1</v>
      </c>
      <c r="G668" s="324">
        <v>0.05</v>
      </c>
    </row>
    <row r="669" spans="1:7" x14ac:dyDescent="0.3">
      <c r="A669" s="326" t="s">
        <v>1160</v>
      </c>
      <c r="B669" s="325">
        <v>52001</v>
      </c>
      <c r="C669" s="325">
        <v>0.25</v>
      </c>
      <c r="D669" s="325">
        <v>0.25</v>
      </c>
      <c r="E669" s="325" t="s">
        <v>747</v>
      </c>
      <c r="F669" s="325">
        <v>0.15</v>
      </c>
      <c r="G669" s="324">
        <v>0.08</v>
      </c>
    </row>
    <row r="670" spans="1:7" x14ac:dyDescent="0.3">
      <c r="A670" s="326" t="s">
        <v>1159</v>
      </c>
      <c r="B670" s="325">
        <v>19532</v>
      </c>
      <c r="C670" s="325">
        <v>0.25</v>
      </c>
      <c r="D670" s="325">
        <v>0.25</v>
      </c>
      <c r="E670" s="325" t="s">
        <v>747</v>
      </c>
      <c r="F670" s="325">
        <v>0.16</v>
      </c>
      <c r="G670" s="324">
        <v>0.08</v>
      </c>
    </row>
    <row r="671" spans="1:7" x14ac:dyDescent="0.3">
      <c r="A671" s="326" t="s">
        <v>1158</v>
      </c>
      <c r="B671" s="325">
        <v>15531</v>
      </c>
      <c r="C671" s="325">
        <v>0.15</v>
      </c>
      <c r="D671" s="325">
        <v>0.15</v>
      </c>
      <c r="E671" s="325" t="s">
        <v>719</v>
      </c>
      <c r="F671" s="325">
        <v>0.15</v>
      </c>
      <c r="G671" s="324">
        <v>7.0000000000000007E-2</v>
      </c>
    </row>
    <row r="672" spans="1:7" x14ac:dyDescent="0.3">
      <c r="A672" s="326" t="s">
        <v>1157</v>
      </c>
      <c r="B672" s="325">
        <v>15533</v>
      </c>
      <c r="C672" s="325">
        <v>0.35</v>
      </c>
      <c r="D672" s="325">
        <v>0.25</v>
      </c>
      <c r="E672" s="325" t="s">
        <v>747</v>
      </c>
      <c r="F672" s="325">
        <v>0.16</v>
      </c>
      <c r="G672" s="324">
        <v>0.08</v>
      </c>
    </row>
    <row r="673" spans="1:7" x14ac:dyDescent="0.3">
      <c r="A673" s="326" t="s">
        <v>1156</v>
      </c>
      <c r="B673" s="325">
        <v>85250</v>
      </c>
      <c r="C673" s="325">
        <v>0.05</v>
      </c>
      <c r="D673" s="325">
        <v>0.15</v>
      </c>
      <c r="E673" s="325" t="s">
        <v>719</v>
      </c>
      <c r="F673" s="325">
        <v>0.04</v>
      </c>
      <c r="G673" s="324">
        <v>0.02</v>
      </c>
    </row>
    <row r="674" spans="1:7" x14ac:dyDescent="0.3">
      <c r="A674" s="326" t="s">
        <v>1155</v>
      </c>
      <c r="B674" s="325">
        <v>15537</v>
      </c>
      <c r="C674" s="325">
        <v>0.25</v>
      </c>
      <c r="D674" s="325">
        <v>0.25</v>
      </c>
      <c r="E674" s="325" t="s">
        <v>747</v>
      </c>
      <c r="F674" s="325">
        <v>0.16</v>
      </c>
      <c r="G674" s="324">
        <v>0.08</v>
      </c>
    </row>
    <row r="675" spans="1:7" x14ac:dyDescent="0.3">
      <c r="A675" s="326" t="s">
        <v>1154</v>
      </c>
      <c r="B675" s="325">
        <v>47541</v>
      </c>
      <c r="C675" s="325">
        <v>0.1</v>
      </c>
      <c r="D675" s="325">
        <v>0.1</v>
      </c>
      <c r="E675" s="325" t="s">
        <v>743</v>
      </c>
      <c r="F675" s="325">
        <v>0.04</v>
      </c>
      <c r="G675" s="324">
        <v>0.02</v>
      </c>
    </row>
    <row r="676" spans="1:7" x14ac:dyDescent="0.3">
      <c r="A676" s="326" t="s">
        <v>1153</v>
      </c>
      <c r="B676" s="325">
        <v>20550</v>
      </c>
      <c r="C676" s="325">
        <v>0.15</v>
      </c>
      <c r="D676" s="325">
        <v>0.15</v>
      </c>
      <c r="E676" s="325" t="s">
        <v>719</v>
      </c>
      <c r="F676" s="325">
        <v>0.08</v>
      </c>
      <c r="G676" s="324">
        <v>0.04</v>
      </c>
    </row>
    <row r="677" spans="1:7" x14ac:dyDescent="0.3">
      <c r="A677" s="326" t="s">
        <v>1152</v>
      </c>
      <c r="B677" s="325">
        <v>17541</v>
      </c>
      <c r="C677" s="325">
        <v>0.2</v>
      </c>
      <c r="D677" s="325">
        <v>0.2</v>
      </c>
      <c r="E677" s="325" t="s">
        <v>719</v>
      </c>
      <c r="F677" s="325">
        <v>0.18</v>
      </c>
      <c r="G677" s="324">
        <v>0.09</v>
      </c>
    </row>
    <row r="678" spans="1:7" x14ac:dyDescent="0.3">
      <c r="A678" s="326" t="s">
        <v>1151</v>
      </c>
      <c r="B678" s="325">
        <v>5541</v>
      </c>
      <c r="C678" s="325">
        <v>0.15</v>
      </c>
      <c r="D678" s="325">
        <v>0.2</v>
      </c>
      <c r="E678" s="325" t="s">
        <v>719</v>
      </c>
      <c r="F678" s="325">
        <v>0.1</v>
      </c>
      <c r="G678" s="324">
        <v>0.05</v>
      </c>
    </row>
    <row r="679" spans="1:7" x14ac:dyDescent="0.3">
      <c r="A679" s="326" t="s">
        <v>1150</v>
      </c>
      <c r="B679" s="325">
        <v>5543</v>
      </c>
      <c r="C679" s="325">
        <v>0.2</v>
      </c>
      <c r="D679" s="325">
        <v>0.25</v>
      </c>
      <c r="E679" s="325" t="s">
        <v>747</v>
      </c>
      <c r="F679" s="325">
        <v>0.11</v>
      </c>
      <c r="G679" s="324">
        <v>0.06</v>
      </c>
    </row>
    <row r="680" spans="1:7" x14ac:dyDescent="0.3">
      <c r="A680" s="326" t="s">
        <v>1149</v>
      </c>
      <c r="B680" s="325">
        <v>66001</v>
      </c>
      <c r="C680" s="325">
        <v>0.25</v>
      </c>
      <c r="D680" s="325">
        <v>0.25</v>
      </c>
      <c r="E680" s="325" t="s">
        <v>747</v>
      </c>
      <c r="F680" s="325">
        <v>0.2</v>
      </c>
      <c r="G680" s="324">
        <v>0.1</v>
      </c>
    </row>
    <row r="681" spans="1:7" x14ac:dyDescent="0.3">
      <c r="A681" s="326" t="s">
        <v>1148</v>
      </c>
      <c r="B681" s="325">
        <v>15542</v>
      </c>
      <c r="C681" s="325">
        <v>0.2</v>
      </c>
      <c r="D681" s="325">
        <v>0.25</v>
      </c>
      <c r="E681" s="325" t="s">
        <v>747</v>
      </c>
      <c r="F681" s="325">
        <v>0.16</v>
      </c>
      <c r="G681" s="324">
        <v>0.08</v>
      </c>
    </row>
    <row r="682" spans="1:7" x14ac:dyDescent="0.3">
      <c r="A682" s="326" t="s">
        <v>1147</v>
      </c>
      <c r="B682" s="325">
        <v>19533</v>
      </c>
      <c r="C682" s="325">
        <v>0.25</v>
      </c>
      <c r="D682" s="325">
        <v>0.25</v>
      </c>
      <c r="E682" s="325" t="s">
        <v>747</v>
      </c>
      <c r="F682" s="325">
        <v>0.09</v>
      </c>
      <c r="G682" s="324">
        <v>0.05</v>
      </c>
    </row>
    <row r="683" spans="1:7" x14ac:dyDescent="0.3">
      <c r="A683" s="326" t="s">
        <v>1146</v>
      </c>
      <c r="B683" s="325">
        <v>68547</v>
      </c>
      <c r="C683" s="325">
        <v>0.25</v>
      </c>
      <c r="D683" s="325">
        <v>0.25</v>
      </c>
      <c r="E683" s="325" t="s">
        <v>747</v>
      </c>
      <c r="F683" s="325">
        <v>0.11</v>
      </c>
      <c r="G683" s="324">
        <v>7.0000000000000007E-2</v>
      </c>
    </row>
    <row r="684" spans="1:7" x14ac:dyDescent="0.3">
      <c r="A684" s="326" t="s">
        <v>1145</v>
      </c>
      <c r="B684" s="325">
        <v>73547</v>
      </c>
      <c r="C684" s="325">
        <v>0.2</v>
      </c>
      <c r="D684" s="325">
        <v>0.2</v>
      </c>
      <c r="E684" s="325" t="s">
        <v>719</v>
      </c>
      <c r="F684" s="325">
        <v>0.14000000000000001</v>
      </c>
      <c r="G684" s="324">
        <v>7.0000000000000007E-2</v>
      </c>
    </row>
    <row r="685" spans="1:7" x14ac:dyDescent="0.3">
      <c r="A685" s="326" t="s">
        <v>1144</v>
      </c>
      <c r="B685" s="325">
        <v>19548</v>
      </c>
      <c r="C685" s="325">
        <v>0.25</v>
      </c>
      <c r="D685" s="325">
        <v>0.2</v>
      </c>
      <c r="E685" s="325" t="s">
        <v>747</v>
      </c>
      <c r="F685" s="325">
        <v>0.16</v>
      </c>
      <c r="G685" s="324">
        <v>0.08</v>
      </c>
    </row>
    <row r="686" spans="1:7" x14ac:dyDescent="0.3">
      <c r="A686" s="326" t="s">
        <v>1143</v>
      </c>
      <c r="B686" s="325">
        <v>63548</v>
      </c>
      <c r="C686" s="325">
        <v>0.25</v>
      </c>
      <c r="D686" s="325">
        <v>0.2</v>
      </c>
      <c r="E686" s="325" t="s">
        <v>747</v>
      </c>
      <c r="F686" s="325">
        <v>0.2</v>
      </c>
      <c r="G686" s="324">
        <v>0.1</v>
      </c>
    </row>
    <row r="687" spans="1:7" x14ac:dyDescent="0.3">
      <c r="A687" s="326" t="s">
        <v>1142</v>
      </c>
      <c r="B687" s="325">
        <v>47545</v>
      </c>
      <c r="C687" s="325">
        <v>0.1</v>
      </c>
      <c r="D687" s="325">
        <v>0.1</v>
      </c>
      <c r="E687" s="325" t="s">
        <v>743</v>
      </c>
      <c r="F687" s="325">
        <v>0.04</v>
      </c>
      <c r="G687" s="324">
        <v>0.02</v>
      </c>
    </row>
    <row r="688" spans="1:7" x14ac:dyDescent="0.3">
      <c r="A688" s="326" t="s">
        <v>1141</v>
      </c>
      <c r="B688" s="325">
        <v>68549</v>
      </c>
      <c r="C688" s="325">
        <v>0.2</v>
      </c>
      <c r="D688" s="325">
        <v>0.25</v>
      </c>
      <c r="E688" s="325" t="s">
        <v>747</v>
      </c>
      <c r="F688" s="325">
        <v>0.09</v>
      </c>
      <c r="G688" s="324">
        <v>0.06</v>
      </c>
    </row>
    <row r="689" spans="1:7" x14ac:dyDescent="0.3">
      <c r="A689" s="326" t="s">
        <v>1140</v>
      </c>
      <c r="B689" s="325">
        <v>13549</v>
      </c>
      <c r="C689" s="325">
        <v>0.1</v>
      </c>
      <c r="D689" s="325">
        <v>0.15</v>
      </c>
      <c r="E689" s="325" t="s">
        <v>719</v>
      </c>
      <c r="F689" s="325">
        <v>0.05</v>
      </c>
      <c r="G689" s="324">
        <v>0.03</v>
      </c>
    </row>
    <row r="690" spans="1:7" x14ac:dyDescent="0.3">
      <c r="A690" s="326" t="s">
        <v>1139</v>
      </c>
      <c r="B690" s="325">
        <v>8549</v>
      </c>
      <c r="C690" s="325">
        <v>0.1</v>
      </c>
      <c r="D690" s="325">
        <v>0.1</v>
      </c>
      <c r="E690" s="325" t="s">
        <v>743</v>
      </c>
      <c r="F690" s="325">
        <v>0.04</v>
      </c>
      <c r="G690" s="324">
        <v>0.02</v>
      </c>
    </row>
    <row r="691" spans="1:7" x14ac:dyDescent="0.3">
      <c r="A691" s="326" t="s">
        <v>1138</v>
      </c>
      <c r="B691" s="325">
        <v>15550</v>
      </c>
      <c r="C691" s="325">
        <v>0.3</v>
      </c>
      <c r="D691" s="325">
        <v>0.25</v>
      </c>
      <c r="E691" s="325" t="s">
        <v>747</v>
      </c>
      <c r="F691" s="325">
        <v>0.16</v>
      </c>
      <c r="G691" s="324">
        <v>0.08</v>
      </c>
    </row>
    <row r="692" spans="1:7" x14ac:dyDescent="0.3">
      <c r="A692" s="326" t="s">
        <v>1137</v>
      </c>
      <c r="B692" s="325">
        <v>41548</v>
      </c>
      <c r="C692" s="325">
        <v>0.3</v>
      </c>
      <c r="D692" s="325">
        <v>0.15</v>
      </c>
      <c r="E692" s="325" t="s">
        <v>747</v>
      </c>
      <c r="F692" s="325">
        <v>0.2</v>
      </c>
      <c r="G692" s="324">
        <v>0.08</v>
      </c>
    </row>
    <row r="693" spans="1:7" x14ac:dyDescent="0.3">
      <c r="A693" s="326" t="s">
        <v>1136</v>
      </c>
      <c r="B693" s="325">
        <v>41551</v>
      </c>
      <c r="C693" s="325">
        <v>0.3</v>
      </c>
      <c r="D693" s="325">
        <v>0.15</v>
      </c>
      <c r="E693" s="325" t="s">
        <v>747</v>
      </c>
      <c r="F693" s="325">
        <v>0.2</v>
      </c>
      <c r="G693" s="324">
        <v>0.08</v>
      </c>
    </row>
    <row r="694" spans="1:7" x14ac:dyDescent="0.3">
      <c r="A694" s="326" t="s">
        <v>1135</v>
      </c>
      <c r="B694" s="325">
        <v>47551</v>
      </c>
      <c r="C694" s="325">
        <v>0.1</v>
      </c>
      <c r="D694" s="325">
        <v>0.1</v>
      </c>
      <c r="E694" s="325" t="s">
        <v>743</v>
      </c>
      <c r="F694" s="325">
        <v>0.04</v>
      </c>
      <c r="G694" s="324">
        <v>0.02</v>
      </c>
    </row>
    <row r="695" spans="1:7" x14ac:dyDescent="0.3">
      <c r="A695" s="326" t="s">
        <v>1134</v>
      </c>
      <c r="B695" s="325">
        <v>73555</v>
      </c>
      <c r="C695" s="325">
        <v>0.25</v>
      </c>
      <c r="D695" s="325">
        <v>0.2</v>
      </c>
      <c r="E695" s="325" t="s">
        <v>747</v>
      </c>
      <c r="F695" s="325">
        <v>0.06</v>
      </c>
      <c r="G695" s="324">
        <v>0.04</v>
      </c>
    </row>
    <row r="696" spans="1:7" x14ac:dyDescent="0.3">
      <c r="A696" s="326" t="s">
        <v>1133</v>
      </c>
      <c r="B696" s="325">
        <v>23555</v>
      </c>
      <c r="C696" s="325">
        <v>0.15</v>
      </c>
      <c r="D696" s="325">
        <v>0.2</v>
      </c>
      <c r="E696" s="325" t="s">
        <v>719</v>
      </c>
      <c r="F696" s="325">
        <v>0.08</v>
      </c>
      <c r="G696" s="324">
        <v>0.04</v>
      </c>
    </row>
    <row r="697" spans="1:7" x14ac:dyDescent="0.3">
      <c r="A697" s="326" t="s">
        <v>1132</v>
      </c>
      <c r="B697" s="325">
        <v>47555</v>
      </c>
      <c r="C697" s="325">
        <v>0.1</v>
      </c>
      <c r="D697" s="325">
        <v>0.1</v>
      </c>
      <c r="E697" s="325" t="s">
        <v>743</v>
      </c>
      <c r="F697" s="325">
        <v>0.04</v>
      </c>
      <c r="G697" s="324">
        <v>0.02</v>
      </c>
    </row>
    <row r="698" spans="1:7" x14ac:dyDescent="0.3">
      <c r="A698" s="326" t="s">
        <v>1131</v>
      </c>
      <c r="B698" s="325">
        <v>52540</v>
      </c>
      <c r="C698" s="325">
        <v>0.3</v>
      </c>
      <c r="D698" s="325">
        <v>0.3</v>
      </c>
      <c r="E698" s="325" t="s">
        <v>747</v>
      </c>
      <c r="F698" s="325">
        <v>0.13</v>
      </c>
      <c r="G698" s="324">
        <v>0.08</v>
      </c>
    </row>
    <row r="699" spans="1:7" x14ac:dyDescent="0.3">
      <c r="A699" s="326" t="s">
        <v>1130</v>
      </c>
      <c r="B699" s="325">
        <v>8558</v>
      </c>
      <c r="C699" s="325">
        <v>0.1</v>
      </c>
      <c r="D699" s="325">
        <v>0.1</v>
      </c>
      <c r="E699" s="325" t="s">
        <v>743</v>
      </c>
      <c r="F699" s="325">
        <v>0.06</v>
      </c>
      <c r="G699" s="324">
        <v>0.03</v>
      </c>
    </row>
    <row r="700" spans="1:7" x14ac:dyDescent="0.3">
      <c r="A700" s="326" t="s">
        <v>1129</v>
      </c>
      <c r="B700" s="325">
        <v>8560</v>
      </c>
      <c r="C700" s="325">
        <v>0.1</v>
      </c>
      <c r="D700" s="325">
        <v>0.1</v>
      </c>
      <c r="E700" s="325" t="s">
        <v>743</v>
      </c>
      <c r="F700" s="325">
        <v>0.08</v>
      </c>
      <c r="G700" s="324">
        <v>0.03</v>
      </c>
    </row>
    <row r="701" spans="1:7" x14ac:dyDescent="0.3">
      <c r="A701" s="326" t="s">
        <v>1128</v>
      </c>
      <c r="B701" s="325">
        <v>19001</v>
      </c>
      <c r="C701" s="325">
        <v>0.25</v>
      </c>
      <c r="D701" s="325">
        <v>0.2</v>
      </c>
      <c r="E701" s="325" t="s">
        <v>747</v>
      </c>
      <c r="F701" s="325">
        <v>0.15</v>
      </c>
      <c r="G701" s="324">
        <v>0.08</v>
      </c>
    </row>
    <row r="702" spans="1:7" x14ac:dyDescent="0.3">
      <c r="A702" s="326" t="s">
        <v>1127</v>
      </c>
      <c r="B702" s="325">
        <v>85263</v>
      </c>
      <c r="C702" s="325">
        <v>0.2</v>
      </c>
      <c r="D702" s="325">
        <v>0.2</v>
      </c>
      <c r="E702" s="325" t="s">
        <v>719</v>
      </c>
      <c r="F702" s="325">
        <v>0.08</v>
      </c>
      <c r="G702" s="324">
        <v>0.04</v>
      </c>
    </row>
    <row r="703" spans="1:7" x14ac:dyDescent="0.3">
      <c r="A703" s="326" t="s">
        <v>1126</v>
      </c>
      <c r="B703" s="325">
        <v>52560</v>
      </c>
      <c r="C703" s="325">
        <v>0.25</v>
      </c>
      <c r="D703" s="325">
        <v>0.25</v>
      </c>
      <c r="E703" s="325" t="s">
        <v>747</v>
      </c>
      <c r="F703" s="325">
        <v>0.16</v>
      </c>
      <c r="G703" s="324">
        <v>0.08</v>
      </c>
    </row>
    <row r="704" spans="1:7" x14ac:dyDescent="0.3">
      <c r="A704" s="326" t="s">
        <v>1125</v>
      </c>
      <c r="B704" s="325">
        <v>76563</v>
      </c>
      <c r="C704" s="325">
        <v>0.25</v>
      </c>
      <c r="D704" s="325">
        <v>0.2</v>
      </c>
      <c r="E704" s="325" t="s">
        <v>747</v>
      </c>
      <c r="F704" s="325">
        <v>0.12</v>
      </c>
      <c r="G704" s="324">
        <v>0.06</v>
      </c>
    </row>
    <row r="705" spans="1:7" x14ac:dyDescent="0.3">
      <c r="A705" s="326" t="s">
        <v>1124</v>
      </c>
      <c r="B705" s="325">
        <v>73563</v>
      </c>
      <c r="C705" s="325">
        <v>0.25</v>
      </c>
      <c r="D705" s="325">
        <v>0.2</v>
      </c>
      <c r="E705" s="325" t="s">
        <v>747</v>
      </c>
      <c r="F705" s="325">
        <v>0.13</v>
      </c>
      <c r="G705" s="324">
        <v>0.06</v>
      </c>
    </row>
    <row r="706" spans="1:7" x14ac:dyDescent="0.3">
      <c r="A706" s="326" t="s">
        <v>1123</v>
      </c>
      <c r="B706" s="325">
        <v>52565</v>
      </c>
      <c r="C706" s="325">
        <v>0.25</v>
      </c>
      <c r="D706" s="325">
        <v>0.25</v>
      </c>
      <c r="E706" s="325" t="s">
        <v>747</v>
      </c>
      <c r="F706" s="325">
        <v>0.16</v>
      </c>
      <c r="G706" s="324">
        <v>0.08</v>
      </c>
    </row>
    <row r="707" spans="1:7" x14ac:dyDescent="0.3">
      <c r="A707" s="326" t="s">
        <v>1122</v>
      </c>
      <c r="B707" s="325">
        <v>88564</v>
      </c>
      <c r="C707" s="325">
        <v>0.1</v>
      </c>
      <c r="D707" s="325">
        <v>0.1</v>
      </c>
      <c r="E707" s="325" t="s">
        <v>743</v>
      </c>
      <c r="F707" s="325">
        <v>0.05</v>
      </c>
      <c r="G707" s="324">
        <v>0.03</v>
      </c>
    </row>
    <row r="708" spans="1:7" x14ac:dyDescent="0.3">
      <c r="A708" s="326" t="s">
        <v>1121</v>
      </c>
      <c r="B708" s="325">
        <v>20570</v>
      </c>
      <c r="C708" s="325">
        <v>0.1</v>
      </c>
      <c r="D708" s="325">
        <v>0.1</v>
      </c>
      <c r="E708" s="325" t="s">
        <v>743</v>
      </c>
      <c r="F708" s="325">
        <v>0.05</v>
      </c>
      <c r="G708" s="324">
        <v>0.03</v>
      </c>
    </row>
    <row r="709" spans="1:7" x14ac:dyDescent="0.3">
      <c r="A709" s="326" t="s">
        <v>1120</v>
      </c>
      <c r="B709" s="325">
        <v>23570</v>
      </c>
      <c r="C709" s="325">
        <v>0.15</v>
      </c>
      <c r="D709" s="325">
        <v>0.15</v>
      </c>
      <c r="E709" s="325" t="s">
        <v>719</v>
      </c>
      <c r="F709" s="325">
        <v>0.08</v>
      </c>
      <c r="G709" s="324">
        <v>0.05</v>
      </c>
    </row>
    <row r="710" spans="1:7" x14ac:dyDescent="0.3">
      <c r="A710" s="326" t="s">
        <v>1119</v>
      </c>
      <c r="B710" s="325">
        <v>66572</v>
      </c>
      <c r="C710" s="325">
        <v>0.3</v>
      </c>
      <c r="D710" s="325">
        <v>0.3</v>
      </c>
      <c r="E710" s="325" t="s">
        <v>747</v>
      </c>
      <c r="F710" s="325">
        <v>0.2</v>
      </c>
      <c r="G710" s="324">
        <v>0.1</v>
      </c>
    </row>
    <row r="711" spans="1:7" x14ac:dyDescent="0.3">
      <c r="A711" s="326" t="s">
        <v>1118</v>
      </c>
      <c r="B711" s="325">
        <v>5576</v>
      </c>
      <c r="C711" s="325">
        <v>0.25</v>
      </c>
      <c r="D711" s="325">
        <v>0.25</v>
      </c>
      <c r="E711" s="325" t="s">
        <v>747</v>
      </c>
      <c r="F711" s="325">
        <v>0.17</v>
      </c>
      <c r="G711" s="324">
        <v>0.1</v>
      </c>
    </row>
    <row r="712" spans="1:7" x14ac:dyDescent="0.3">
      <c r="A712" s="326" t="s">
        <v>1117</v>
      </c>
      <c r="B712" s="325">
        <v>47570</v>
      </c>
      <c r="C712" s="325">
        <v>0.1</v>
      </c>
      <c r="D712" s="325">
        <v>0.1</v>
      </c>
      <c r="E712" s="325" t="s">
        <v>743</v>
      </c>
      <c r="F712" s="325">
        <v>0.04</v>
      </c>
      <c r="G712" s="324">
        <v>0.02</v>
      </c>
    </row>
    <row r="713" spans="1:7" x14ac:dyDescent="0.3">
      <c r="A713" s="326" t="s">
        <v>1116</v>
      </c>
      <c r="B713" s="325">
        <v>68572</v>
      </c>
      <c r="C713" s="325">
        <v>0.15</v>
      </c>
      <c r="D713" s="325">
        <v>0.2</v>
      </c>
      <c r="E713" s="325" t="s">
        <v>719</v>
      </c>
      <c r="F713" s="325">
        <v>0.08</v>
      </c>
      <c r="G713" s="324">
        <v>0.05</v>
      </c>
    </row>
    <row r="714" spans="1:7" x14ac:dyDescent="0.3">
      <c r="A714" s="326" t="s">
        <v>1115</v>
      </c>
      <c r="B714" s="325">
        <v>52573</v>
      </c>
      <c r="C714" s="325">
        <v>0.25</v>
      </c>
      <c r="D714" s="325">
        <v>0.25</v>
      </c>
      <c r="E714" s="325" t="s">
        <v>747</v>
      </c>
      <c r="F714" s="325">
        <v>0.16</v>
      </c>
      <c r="G714" s="324">
        <v>0.08</v>
      </c>
    </row>
    <row r="715" spans="1:7" x14ac:dyDescent="0.3">
      <c r="A715" s="326" t="s">
        <v>1114</v>
      </c>
      <c r="B715" s="325">
        <v>91530</v>
      </c>
      <c r="C715" s="325">
        <v>0.05</v>
      </c>
      <c r="D715" s="325">
        <v>0.05</v>
      </c>
      <c r="E715" s="325" t="s">
        <v>743</v>
      </c>
      <c r="F715" s="325">
        <v>0.04</v>
      </c>
      <c r="G715" s="324">
        <v>0.02</v>
      </c>
    </row>
    <row r="716" spans="1:7" x14ac:dyDescent="0.3">
      <c r="A716" s="326" t="s">
        <v>1113</v>
      </c>
      <c r="B716" s="325">
        <v>91536</v>
      </c>
      <c r="C716" s="325">
        <v>0.05</v>
      </c>
      <c r="D716" s="325">
        <v>0.05</v>
      </c>
      <c r="E716" s="325" t="s">
        <v>743</v>
      </c>
      <c r="F716" s="325">
        <v>0.04</v>
      </c>
      <c r="G716" s="324">
        <v>0.02</v>
      </c>
    </row>
    <row r="717" spans="1:7" x14ac:dyDescent="0.3">
      <c r="A717" s="326" t="s">
        <v>1112</v>
      </c>
      <c r="B717" s="325">
        <v>86568</v>
      </c>
      <c r="C717" s="325">
        <v>0.05</v>
      </c>
      <c r="D717" s="325">
        <v>0.15</v>
      </c>
      <c r="E717" s="325" t="s">
        <v>719</v>
      </c>
      <c r="F717" s="325">
        <v>0.04</v>
      </c>
      <c r="G717" s="324">
        <v>0.02</v>
      </c>
    </row>
    <row r="718" spans="1:7" x14ac:dyDescent="0.3">
      <c r="A718" s="326" t="s">
        <v>1111</v>
      </c>
      <c r="B718" s="325">
        <v>5579</v>
      </c>
      <c r="C718" s="325">
        <v>0.15</v>
      </c>
      <c r="D718" s="325">
        <v>0.15</v>
      </c>
      <c r="E718" s="325" t="s">
        <v>719</v>
      </c>
      <c r="F718" s="325">
        <v>0.11</v>
      </c>
      <c r="G718" s="324">
        <v>0.06</v>
      </c>
    </row>
    <row r="719" spans="1:7" x14ac:dyDescent="0.3">
      <c r="A719" s="326" t="s">
        <v>1110</v>
      </c>
      <c r="B719" s="325">
        <v>15572</v>
      </c>
      <c r="C719" s="325">
        <v>0.15</v>
      </c>
      <c r="D719" s="325">
        <v>0.15</v>
      </c>
      <c r="E719" s="325" t="s">
        <v>719</v>
      </c>
      <c r="F719" s="325">
        <v>0.1</v>
      </c>
      <c r="G719" s="324">
        <v>0.05</v>
      </c>
    </row>
    <row r="720" spans="1:7" x14ac:dyDescent="0.3">
      <c r="A720" s="326" t="s">
        <v>1109</v>
      </c>
      <c r="B720" s="325">
        <v>86569</v>
      </c>
      <c r="C720" s="325">
        <v>0.15</v>
      </c>
      <c r="D720" s="325">
        <v>0.2</v>
      </c>
      <c r="E720" s="325" t="s">
        <v>719</v>
      </c>
      <c r="F720" s="325">
        <v>0.04</v>
      </c>
      <c r="G720" s="324">
        <v>0.02</v>
      </c>
    </row>
    <row r="721" spans="1:7" x14ac:dyDescent="0.3">
      <c r="A721" s="326" t="s">
        <v>1108</v>
      </c>
      <c r="B721" s="325">
        <v>99001</v>
      </c>
      <c r="C721" s="325">
        <v>0.05</v>
      </c>
      <c r="D721" s="325">
        <v>0.05</v>
      </c>
      <c r="E721" s="325" t="s">
        <v>743</v>
      </c>
      <c r="F721" s="325">
        <v>0.04</v>
      </c>
      <c r="G721" s="324">
        <v>0.02</v>
      </c>
    </row>
    <row r="722" spans="1:7" x14ac:dyDescent="0.3">
      <c r="A722" s="326" t="s">
        <v>1107</v>
      </c>
      <c r="B722" s="325">
        <v>8573</v>
      </c>
      <c r="C722" s="325">
        <v>0.1</v>
      </c>
      <c r="D722" s="325">
        <v>0.1</v>
      </c>
      <c r="E722" s="325" t="s">
        <v>743</v>
      </c>
      <c r="F722" s="325">
        <v>0.04</v>
      </c>
      <c r="G722" s="324">
        <v>0.03</v>
      </c>
    </row>
    <row r="723" spans="1:7" x14ac:dyDescent="0.3">
      <c r="A723" s="326" t="s">
        <v>1107</v>
      </c>
      <c r="B723" s="325">
        <v>94884</v>
      </c>
      <c r="C723" s="325">
        <v>0.05</v>
      </c>
      <c r="D723" s="325">
        <v>0.05</v>
      </c>
      <c r="E723" s="325" t="s">
        <v>743</v>
      </c>
      <c r="F723" s="325">
        <v>0.04</v>
      </c>
      <c r="G723" s="324">
        <v>0.02</v>
      </c>
    </row>
    <row r="724" spans="1:7" x14ac:dyDescent="0.3">
      <c r="A724" s="326" t="s">
        <v>1106</v>
      </c>
      <c r="B724" s="325">
        <v>50450</v>
      </c>
      <c r="C724" s="325">
        <v>0.05</v>
      </c>
      <c r="D724" s="325">
        <v>0.05</v>
      </c>
      <c r="E724" s="325" t="s">
        <v>743</v>
      </c>
      <c r="F724" s="325">
        <v>0.04</v>
      </c>
      <c r="G724" s="324">
        <v>0.02</v>
      </c>
    </row>
    <row r="725" spans="1:7" x14ac:dyDescent="0.3">
      <c r="A725" s="326" t="s">
        <v>1105</v>
      </c>
      <c r="B725" s="325">
        <v>23574</v>
      </c>
      <c r="C725" s="325">
        <v>0.1</v>
      </c>
      <c r="D725" s="325">
        <v>0.2</v>
      </c>
      <c r="E725" s="325" t="s">
        <v>719</v>
      </c>
      <c r="F725" s="325">
        <v>0.06</v>
      </c>
      <c r="G725" s="324">
        <v>0.04</v>
      </c>
    </row>
    <row r="726" spans="1:7" x14ac:dyDescent="0.3">
      <c r="A726" s="326" t="s">
        <v>1104</v>
      </c>
      <c r="B726" s="325">
        <v>50568</v>
      </c>
      <c r="C726" s="325">
        <v>0.05</v>
      </c>
      <c r="D726" s="325">
        <v>0.1</v>
      </c>
      <c r="E726" s="325" t="s">
        <v>743</v>
      </c>
      <c r="F726" s="325">
        <v>0.04</v>
      </c>
      <c r="G726" s="324">
        <v>0.02</v>
      </c>
    </row>
    <row r="727" spans="1:7" x14ac:dyDescent="0.3">
      <c r="A727" s="326" t="s">
        <v>1103</v>
      </c>
      <c r="B727" s="325">
        <v>86571</v>
      </c>
      <c r="C727" s="325">
        <v>0.05</v>
      </c>
      <c r="D727" s="325">
        <v>0.15</v>
      </c>
      <c r="E727" s="325" t="s">
        <v>719</v>
      </c>
      <c r="F727" s="325">
        <v>0.04</v>
      </c>
      <c r="G727" s="324">
        <v>0.02</v>
      </c>
    </row>
    <row r="728" spans="1:7" x14ac:dyDescent="0.3">
      <c r="A728" s="326" t="s">
        <v>1102</v>
      </c>
      <c r="B728" s="325">
        <v>94001</v>
      </c>
      <c r="C728" s="325">
        <v>0.05</v>
      </c>
      <c r="D728" s="325">
        <v>0.05</v>
      </c>
      <c r="E728" s="325" t="s">
        <v>743</v>
      </c>
      <c r="F728" s="325">
        <v>0.04</v>
      </c>
      <c r="G728" s="324">
        <v>0.02</v>
      </c>
    </row>
    <row r="729" spans="1:7" x14ac:dyDescent="0.3">
      <c r="A729" s="326" t="s">
        <v>1101</v>
      </c>
      <c r="B729" s="325">
        <v>86573</v>
      </c>
      <c r="C729" s="325">
        <v>0.05</v>
      </c>
      <c r="D729" s="325">
        <v>0.05</v>
      </c>
      <c r="E729" s="325" t="s">
        <v>743</v>
      </c>
      <c r="F729" s="325">
        <v>0.04</v>
      </c>
      <c r="G729" s="324">
        <v>0.02</v>
      </c>
    </row>
    <row r="730" spans="1:7" x14ac:dyDescent="0.3">
      <c r="A730" s="326" t="s">
        <v>1100</v>
      </c>
      <c r="B730" s="325">
        <v>23580</v>
      </c>
      <c r="C730" s="325">
        <v>0.15</v>
      </c>
      <c r="D730" s="325">
        <v>0.2</v>
      </c>
      <c r="E730" s="325" t="s">
        <v>719</v>
      </c>
      <c r="F730" s="325">
        <v>0.08</v>
      </c>
      <c r="G730" s="324">
        <v>0.04</v>
      </c>
    </row>
    <row r="731" spans="1:7" x14ac:dyDescent="0.3">
      <c r="A731" s="326" t="s">
        <v>1099</v>
      </c>
      <c r="B731" s="325">
        <v>50577</v>
      </c>
      <c r="C731" s="325">
        <v>0.05</v>
      </c>
      <c r="D731" s="325">
        <v>0.15</v>
      </c>
      <c r="E731" s="325" t="s">
        <v>719</v>
      </c>
      <c r="F731" s="325">
        <v>0.04</v>
      </c>
      <c r="G731" s="324">
        <v>0.02</v>
      </c>
    </row>
    <row r="732" spans="1:7" x14ac:dyDescent="0.3">
      <c r="A732" s="326" t="s">
        <v>1098</v>
      </c>
      <c r="B732" s="325">
        <v>50573</v>
      </c>
      <c r="C732" s="325">
        <v>0.05</v>
      </c>
      <c r="D732" s="325">
        <v>0.15</v>
      </c>
      <c r="E732" s="325" t="s">
        <v>719</v>
      </c>
      <c r="F732" s="325">
        <v>0.04</v>
      </c>
      <c r="G732" s="324">
        <v>0.02</v>
      </c>
    </row>
    <row r="733" spans="1:7" x14ac:dyDescent="0.3">
      <c r="A733" s="326" t="s">
        <v>1097</v>
      </c>
      <c r="B733" s="325">
        <v>5585</v>
      </c>
      <c r="C733" s="325">
        <v>0.15</v>
      </c>
      <c r="D733" s="325">
        <v>0.2</v>
      </c>
      <c r="E733" s="325" t="s">
        <v>719</v>
      </c>
      <c r="F733" s="325">
        <v>0.11</v>
      </c>
      <c r="G733" s="324">
        <v>0.06</v>
      </c>
    </row>
    <row r="734" spans="1:7" x14ac:dyDescent="0.3">
      <c r="A734" s="326" t="s">
        <v>1096</v>
      </c>
      <c r="B734" s="325">
        <v>91540</v>
      </c>
      <c r="C734" s="325">
        <v>0.05</v>
      </c>
      <c r="D734" s="325">
        <v>0.05</v>
      </c>
      <c r="E734" s="325" t="s">
        <v>743</v>
      </c>
      <c r="F734" s="325">
        <v>0.04</v>
      </c>
      <c r="G734" s="324">
        <v>0.02</v>
      </c>
    </row>
    <row r="735" spans="1:7" x14ac:dyDescent="0.3">
      <c r="A735" s="326" t="s">
        <v>1095</v>
      </c>
      <c r="B735" s="325">
        <v>68573</v>
      </c>
      <c r="C735" s="325">
        <v>0.15</v>
      </c>
      <c r="D735" s="325">
        <v>0.15</v>
      </c>
      <c r="E735" s="325" t="s">
        <v>719</v>
      </c>
      <c r="F735" s="325">
        <v>0.05</v>
      </c>
      <c r="G735" s="324">
        <v>0.04</v>
      </c>
    </row>
    <row r="736" spans="1:7" x14ac:dyDescent="0.3">
      <c r="A736" s="326" t="s">
        <v>1094</v>
      </c>
      <c r="B736" s="325">
        <v>50590</v>
      </c>
      <c r="C736" s="325">
        <v>0.05</v>
      </c>
      <c r="D736" s="325">
        <v>0.1</v>
      </c>
      <c r="E736" s="325" t="s">
        <v>743</v>
      </c>
      <c r="F736" s="325">
        <v>0.04</v>
      </c>
      <c r="G736" s="324">
        <v>0.02</v>
      </c>
    </row>
    <row r="737" spans="1:7" x14ac:dyDescent="0.3">
      <c r="A737" s="326" t="s">
        <v>1094</v>
      </c>
      <c r="B737" s="325">
        <v>18592</v>
      </c>
      <c r="C737" s="325">
        <v>0.15</v>
      </c>
      <c r="D737" s="325">
        <v>0.15</v>
      </c>
      <c r="E737" s="325" t="s">
        <v>719</v>
      </c>
      <c r="F737" s="325">
        <v>7.0000000000000007E-2</v>
      </c>
      <c r="G737" s="324">
        <v>0.03</v>
      </c>
    </row>
    <row r="738" spans="1:7" x14ac:dyDescent="0.3">
      <c r="A738" s="326" t="s">
        <v>1093</v>
      </c>
      <c r="B738" s="325">
        <v>81591</v>
      </c>
      <c r="C738" s="325">
        <v>0.15</v>
      </c>
      <c r="D738" s="325">
        <v>0.15</v>
      </c>
      <c r="E738" s="325" t="s">
        <v>719</v>
      </c>
      <c r="F738" s="325">
        <v>0.14000000000000001</v>
      </c>
      <c r="G738" s="324">
        <v>0.05</v>
      </c>
    </row>
    <row r="739" spans="1:7" x14ac:dyDescent="0.3">
      <c r="A739" s="326" t="s">
        <v>1092</v>
      </c>
      <c r="B739" s="325">
        <v>25572</v>
      </c>
      <c r="C739" s="325">
        <v>0.15</v>
      </c>
      <c r="D739" s="325">
        <v>0.2</v>
      </c>
      <c r="E739" s="325" t="s">
        <v>719</v>
      </c>
      <c r="F739" s="325">
        <v>0.11</v>
      </c>
      <c r="G739" s="324">
        <v>0.06</v>
      </c>
    </row>
    <row r="740" spans="1:7" x14ac:dyDescent="0.3">
      <c r="A740" s="326" t="s">
        <v>1091</v>
      </c>
      <c r="B740" s="325">
        <v>54553</v>
      </c>
      <c r="C740" s="325">
        <v>0.35</v>
      </c>
      <c r="D740" s="325">
        <v>0.25</v>
      </c>
      <c r="E740" s="325" t="s">
        <v>747</v>
      </c>
      <c r="F740" s="325">
        <v>0.09</v>
      </c>
      <c r="G740" s="324">
        <v>0.04</v>
      </c>
    </row>
    <row r="741" spans="1:7" x14ac:dyDescent="0.3">
      <c r="A741" s="326" t="s">
        <v>1091</v>
      </c>
      <c r="B741" s="325">
        <v>91669</v>
      </c>
      <c r="C741" s="325">
        <v>0.05</v>
      </c>
      <c r="D741" s="325">
        <v>0.05</v>
      </c>
      <c r="E741" s="325" t="s">
        <v>743</v>
      </c>
      <c r="F741" s="325">
        <v>0.04</v>
      </c>
      <c r="G741" s="324">
        <v>0.02</v>
      </c>
    </row>
    <row r="742" spans="1:7" x14ac:dyDescent="0.3">
      <c r="A742" s="326" t="s">
        <v>1090</v>
      </c>
      <c r="B742" s="325">
        <v>19573</v>
      </c>
      <c r="C742" s="325">
        <v>0.25</v>
      </c>
      <c r="D742" s="325">
        <v>0.2</v>
      </c>
      <c r="E742" s="325" t="s">
        <v>747</v>
      </c>
      <c r="F742" s="325">
        <v>0.13</v>
      </c>
      <c r="G742" s="324">
        <v>0.08</v>
      </c>
    </row>
    <row r="743" spans="1:7" x14ac:dyDescent="0.3">
      <c r="A743" s="326" t="s">
        <v>1089</v>
      </c>
      <c r="B743" s="325">
        <v>5591</v>
      </c>
      <c r="C743" s="325">
        <v>0.15</v>
      </c>
      <c r="D743" s="325">
        <v>0.2</v>
      </c>
      <c r="E743" s="325" t="s">
        <v>719</v>
      </c>
      <c r="F743" s="325">
        <v>0.09</v>
      </c>
      <c r="G743" s="324">
        <v>0.05</v>
      </c>
    </row>
    <row r="744" spans="1:7" x14ac:dyDescent="0.3">
      <c r="A744" s="326" t="s">
        <v>1088</v>
      </c>
      <c r="B744" s="325">
        <v>68575</v>
      </c>
      <c r="C744" s="325">
        <v>0.15</v>
      </c>
      <c r="D744" s="325">
        <v>0.15</v>
      </c>
      <c r="E744" s="325" t="s">
        <v>719</v>
      </c>
      <c r="F744" s="325">
        <v>0.04</v>
      </c>
      <c r="G744" s="324">
        <v>0.03</v>
      </c>
    </row>
    <row r="745" spans="1:7" x14ac:dyDescent="0.3">
      <c r="A745" s="326" t="s">
        <v>1087</v>
      </c>
      <c r="B745" s="325">
        <v>25580</v>
      </c>
      <c r="C745" s="325">
        <v>0.2</v>
      </c>
      <c r="D745" s="325">
        <v>0.2</v>
      </c>
      <c r="E745" s="325" t="s">
        <v>719</v>
      </c>
      <c r="F745" s="325">
        <v>0.14000000000000001</v>
      </c>
      <c r="G745" s="324">
        <v>0.06</v>
      </c>
    </row>
    <row r="746" spans="1:7" x14ac:dyDescent="0.3">
      <c r="A746" s="326" t="s">
        <v>1086</v>
      </c>
      <c r="B746" s="325">
        <v>52585</v>
      </c>
      <c r="C746" s="325">
        <v>0.25</v>
      </c>
      <c r="D746" s="325">
        <v>0.25</v>
      </c>
      <c r="E746" s="325" t="s">
        <v>747</v>
      </c>
      <c r="F746" s="325">
        <v>0.12</v>
      </c>
      <c r="G746" s="324">
        <v>0.08</v>
      </c>
    </row>
    <row r="747" spans="1:7" x14ac:dyDescent="0.3">
      <c r="A747" s="326" t="s">
        <v>1085</v>
      </c>
      <c r="B747" s="325">
        <v>19585</v>
      </c>
      <c r="C747" s="325">
        <v>0.25</v>
      </c>
      <c r="D747" s="325">
        <v>0.2</v>
      </c>
      <c r="E747" s="325" t="s">
        <v>747</v>
      </c>
      <c r="F747" s="325">
        <v>0.12</v>
      </c>
      <c r="G747" s="324">
        <v>0.06</v>
      </c>
    </row>
    <row r="748" spans="1:7" x14ac:dyDescent="0.3">
      <c r="A748" s="326" t="s">
        <v>1084</v>
      </c>
      <c r="B748" s="325">
        <v>73585</v>
      </c>
      <c r="C748" s="325">
        <v>0.25</v>
      </c>
      <c r="D748" s="325">
        <v>0.2</v>
      </c>
      <c r="E748" s="325" t="s">
        <v>747</v>
      </c>
      <c r="F748" s="325">
        <v>0.14000000000000001</v>
      </c>
      <c r="G748" s="324">
        <v>0.06</v>
      </c>
    </row>
    <row r="749" spans="1:7" x14ac:dyDescent="0.3">
      <c r="A749" s="326" t="s">
        <v>1083</v>
      </c>
      <c r="B749" s="325">
        <v>23586</v>
      </c>
      <c r="C749" s="325">
        <v>0.1</v>
      </c>
      <c r="D749" s="325">
        <v>0.15</v>
      </c>
      <c r="E749" s="325" t="s">
        <v>719</v>
      </c>
      <c r="F749" s="325">
        <v>0.06</v>
      </c>
      <c r="G749" s="324">
        <v>0.03</v>
      </c>
    </row>
    <row r="750" spans="1:7" x14ac:dyDescent="0.3">
      <c r="A750" s="326" t="s">
        <v>1082</v>
      </c>
      <c r="B750" s="325">
        <v>25592</v>
      </c>
      <c r="C750" s="325">
        <v>0.15</v>
      </c>
      <c r="D750" s="325">
        <v>0.2</v>
      </c>
      <c r="E750" s="325" t="s">
        <v>719</v>
      </c>
      <c r="F750" s="325">
        <v>0.16</v>
      </c>
      <c r="G750" s="324">
        <v>0.06</v>
      </c>
    </row>
    <row r="751" spans="1:7" x14ac:dyDescent="0.3">
      <c r="A751" s="326" t="s">
        <v>1081</v>
      </c>
      <c r="B751" s="325">
        <v>25594</v>
      </c>
      <c r="C751" s="325">
        <v>0.25</v>
      </c>
      <c r="D751" s="325">
        <v>0.25</v>
      </c>
      <c r="E751" s="325" t="s">
        <v>747</v>
      </c>
      <c r="F751" s="325">
        <v>0.16</v>
      </c>
      <c r="G751" s="324">
        <v>0.08</v>
      </c>
    </row>
    <row r="752" spans="1:7" x14ac:dyDescent="0.3">
      <c r="A752" s="326" t="s">
        <v>1080</v>
      </c>
      <c r="B752" s="325">
        <v>27001</v>
      </c>
      <c r="C752" s="325">
        <v>0.35</v>
      </c>
      <c r="D752" s="325">
        <v>0.35</v>
      </c>
      <c r="E752" s="325" t="s">
        <v>747</v>
      </c>
      <c r="F752" s="325">
        <v>0.25</v>
      </c>
      <c r="G752" s="324">
        <v>0.13</v>
      </c>
    </row>
    <row r="753" spans="1:7" x14ac:dyDescent="0.3">
      <c r="A753" s="326" t="s">
        <v>1079</v>
      </c>
      <c r="B753" s="325">
        <v>63594</v>
      </c>
      <c r="C753" s="325">
        <v>0.25</v>
      </c>
      <c r="D753" s="325">
        <v>0.25</v>
      </c>
      <c r="E753" s="325" t="s">
        <v>747</v>
      </c>
      <c r="F753" s="325">
        <v>0.2</v>
      </c>
      <c r="G753" s="324">
        <v>0.1</v>
      </c>
    </row>
    <row r="754" spans="1:7" x14ac:dyDescent="0.3">
      <c r="A754" s="326" t="s">
        <v>1078</v>
      </c>
      <c r="B754" s="325">
        <v>66594</v>
      </c>
      <c r="C754" s="325">
        <v>0.25</v>
      </c>
      <c r="D754" s="325">
        <v>0.3</v>
      </c>
      <c r="E754" s="325" t="s">
        <v>747</v>
      </c>
      <c r="F754" s="325">
        <v>0.2</v>
      </c>
      <c r="G754" s="324">
        <v>0.1</v>
      </c>
    </row>
    <row r="755" spans="1:7" x14ac:dyDescent="0.3">
      <c r="A755" s="326" t="s">
        <v>1077</v>
      </c>
      <c r="B755" s="325">
        <v>15580</v>
      </c>
      <c r="C755" s="325">
        <v>0.15</v>
      </c>
      <c r="D755" s="325">
        <v>0.15</v>
      </c>
      <c r="E755" s="325" t="s">
        <v>719</v>
      </c>
      <c r="F755" s="325">
        <v>0.16</v>
      </c>
      <c r="G755" s="324">
        <v>0.08</v>
      </c>
    </row>
    <row r="756" spans="1:7" x14ac:dyDescent="0.3">
      <c r="A756" s="326" t="s">
        <v>1076</v>
      </c>
      <c r="B756" s="325">
        <v>25596</v>
      </c>
      <c r="C756" s="325">
        <v>0.15</v>
      </c>
      <c r="D756" s="325">
        <v>0.2</v>
      </c>
      <c r="E756" s="325" t="s">
        <v>719</v>
      </c>
      <c r="F756" s="325">
        <v>0.16</v>
      </c>
      <c r="G756" s="324">
        <v>0.08</v>
      </c>
    </row>
    <row r="757" spans="1:7" x14ac:dyDescent="0.3">
      <c r="A757" s="326" t="s">
        <v>1075</v>
      </c>
      <c r="B757" s="325">
        <v>54599</v>
      </c>
      <c r="C757" s="325">
        <v>0.35</v>
      </c>
      <c r="D757" s="325">
        <v>0.3</v>
      </c>
      <c r="E757" s="325" t="s">
        <v>747</v>
      </c>
      <c r="F757" s="325">
        <v>0.2</v>
      </c>
      <c r="G757" s="324">
        <v>0.09</v>
      </c>
    </row>
    <row r="758" spans="1:7" x14ac:dyDescent="0.3">
      <c r="A758" s="326" t="s">
        <v>1074</v>
      </c>
      <c r="B758" s="325">
        <v>15599</v>
      </c>
      <c r="C758" s="325">
        <v>0.2</v>
      </c>
      <c r="D758" s="325">
        <v>0.25</v>
      </c>
      <c r="E758" s="325" t="s">
        <v>747</v>
      </c>
      <c r="F758" s="325">
        <v>0.16</v>
      </c>
      <c r="G758" s="324">
        <v>0.08</v>
      </c>
    </row>
    <row r="759" spans="1:7" x14ac:dyDescent="0.3">
      <c r="A759" s="326" t="s">
        <v>1073</v>
      </c>
      <c r="B759" s="325">
        <v>15600</v>
      </c>
      <c r="C759" s="325">
        <v>0.15</v>
      </c>
      <c r="D759" s="325">
        <v>0.2</v>
      </c>
      <c r="E759" s="325" t="s">
        <v>719</v>
      </c>
      <c r="F759" s="325">
        <v>0.09</v>
      </c>
      <c r="G759" s="324">
        <v>0.05</v>
      </c>
    </row>
    <row r="760" spans="1:7" x14ac:dyDescent="0.3">
      <c r="A760" s="326" t="s">
        <v>1072</v>
      </c>
      <c r="B760" s="325">
        <v>85279</v>
      </c>
      <c r="C760" s="325">
        <v>0.3</v>
      </c>
      <c r="D760" s="325">
        <v>0.3</v>
      </c>
      <c r="E760" s="325" t="s">
        <v>747</v>
      </c>
      <c r="F760" s="325">
        <v>0.16</v>
      </c>
      <c r="G760" s="324">
        <v>0.08</v>
      </c>
    </row>
    <row r="761" spans="1:7" x14ac:dyDescent="0.3">
      <c r="A761" s="326" t="s">
        <v>1071</v>
      </c>
      <c r="B761" s="325">
        <v>13580</v>
      </c>
      <c r="C761" s="325">
        <v>0.15</v>
      </c>
      <c r="D761" s="325">
        <v>0.15</v>
      </c>
      <c r="E761" s="325" t="s">
        <v>719</v>
      </c>
      <c r="F761" s="325">
        <v>7.0000000000000007E-2</v>
      </c>
      <c r="G761" s="324">
        <v>0.04</v>
      </c>
    </row>
    <row r="762" spans="1:7" x14ac:dyDescent="0.3">
      <c r="A762" s="326" t="s">
        <v>1070</v>
      </c>
      <c r="B762" s="325">
        <v>5604</v>
      </c>
      <c r="C762" s="325">
        <v>0.15</v>
      </c>
      <c r="D762" s="325">
        <v>0.2</v>
      </c>
      <c r="E762" s="325" t="s">
        <v>719</v>
      </c>
      <c r="F762" s="325">
        <v>0.15</v>
      </c>
      <c r="G762" s="324">
        <v>7.0000000000000007E-2</v>
      </c>
    </row>
    <row r="763" spans="1:7" x14ac:dyDescent="0.3">
      <c r="A763" s="326" t="s">
        <v>1069</v>
      </c>
      <c r="B763" s="325">
        <v>47605</v>
      </c>
      <c r="C763" s="325">
        <v>0.1</v>
      </c>
      <c r="D763" s="325">
        <v>0.1</v>
      </c>
      <c r="E763" s="325" t="s">
        <v>743</v>
      </c>
      <c r="F763" s="325">
        <v>0.04</v>
      </c>
      <c r="G763" s="324">
        <v>0.02</v>
      </c>
    </row>
    <row r="764" spans="1:7" x14ac:dyDescent="0.3">
      <c r="A764" s="326" t="s">
        <v>1068</v>
      </c>
      <c r="B764" s="325">
        <v>8606</v>
      </c>
      <c r="C764" s="325">
        <v>0.1</v>
      </c>
      <c r="D764" s="325">
        <v>0.1</v>
      </c>
      <c r="E764" s="325" t="s">
        <v>743</v>
      </c>
      <c r="F764" s="325">
        <v>0.04</v>
      </c>
      <c r="G764" s="324">
        <v>0.02</v>
      </c>
    </row>
    <row r="765" spans="1:7" x14ac:dyDescent="0.3">
      <c r="A765" s="326" t="s">
        <v>1067</v>
      </c>
      <c r="B765" s="325">
        <v>50606</v>
      </c>
      <c r="C765" s="325">
        <v>0.3</v>
      </c>
      <c r="D765" s="325">
        <v>0.3</v>
      </c>
      <c r="E765" s="325" t="s">
        <v>747</v>
      </c>
      <c r="F765" s="325">
        <v>0.13</v>
      </c>
      <c r="G765" s="324">
        <v>0.05</v>
      </c>
    </row>
    <row r="766" spans="1:7" x14ac:dyDescent="0.3">
      <c r="A766" s="326" t="s">
        <v>1067</v>
      </c>
      <c r="B766" s="325">
        <v>76606</v>
      </c>
      <c r="C766" s="325">
        <v>0.25</v>
      </c>
      <c r="D766" s="325">
        <v>0.25</v>
      </c>
      <c r="E766" s="325" t="s">
        <v>747</v>
      </c>
      <c r="F766" s="325">
        <v>0.11</v>
      </c>
      <c r="G766" s="324">
        <v>0.08</v>
      </c>
    </row>
    <row r="767" spans="1:7" x14ac:dyDescent="0.3">
      <c r="A767" s="326" t="s">
        <v>1066</v>
      </c>
      <c r="B767" s="325">
        <v>5607</v>
      </c>
      <c r="C767" s="325">
        <v>0.15</v>
      </c>
      <c r="D767" s="325">
        <v>0.2</v>
      </c>
      <c r="E767" s="325" t="s">
        <v>719</v>
      </c>
      <c r="F767" s="325">
        <v>0.13</v>
      </c>
      <c r="G767" s="324">
        <v>7.0000000000000007E-2</v>
      </c>
    </row>
    <row r="768" spans="1:7" x14ac:dyDescent="0.3">
      <c r="A768" s="326" t="s">
        <v>1065</v>
      </c>
      <c r="B768" s="325">
        <v>52612</v>
      </c>
      <c r="C768" s="325">
        <v>0.35</v>
      </c>
      <c r="D768" s="325">
        <v>0.3</v>
      </c>
      <c r="E768" s="325" t="s">
        <v>747</v>
      </c>
      <c r="F768" s="325">
        <v>0.16</v>
      </c>
      <c r="G768" s="324">
        <v>0.08</v>
      </c>
    </row>
    <row r="769" spans="1:7" x14ac:dyDescent="0.3">
      <c r="A769" s="326" t="s">
        <v>1065</v>
      </c>
      <c r="B769" s="325">
        <v>25612</v>
      </c>
      <c r="C769" s="325">
        <v>0.2</v>
      </c>
      <c r="D769" s="325">
        <v>0.2</v>
      </c>
      <c r="E769" s="325" t="s">
        <v>719</v>
      </c>
      <c r="F769" s="325">
        <v>0.11</v>
      </c>
      <c r="G769" s="324">
        <v>0.06</v>
      </c>
    </row>
    <row r="770" spans="1:7" x14ac:dyDescent="0.3">
      <c r="A770" s="326" t="s">
        <v>1064</v>
      </c>
      <c r="B770" s="325">
        <v>20614</v>
      </c>
      <c r="C770" s="325">
        <v>0.2</v>
      </c>
      <c r="D770" s="325">
        <v>0.15</v>
      </c>
      <c r="E770" s="325" t="s">
        <v>719</v>
      </c>
      <c r="F770" s="325">
        <v>0.08</v>
      </c>
      <c r="G770" s="324">
        <v>0.04</v>
      </c>
    </row>
    <row r="771" spans="1:7" x14ac:dyDescent="0.3">
      <c r="A771" s="326" t="s">
        <v>1063</v>
      </c>
      <c r="B771" s="325">
        <v>27580</v>
      </c>
      <c r="C771" s="325">
        <v>0.35</v>
      </c>
      <c r="D771" s="325">
        <v>0.35</v>
      </c>
      <c r="E771" s="325" t="s">
        <v>747</v>
      </c>
      <c r="F771" s="325">
        <v>0.24</v>
      </c>
      <c r="G771" s="324">
        <v>0.1</v>
      </c>
    </row>
    <row r="772" spans="1:7" x14ac:dyDescent="0.3">
      <c r="A772" s="326" t="s">
        <v>1062</v>
      </c>
      <c r="B772" s="325">
        <v>27600</v>
      </c>
      <c r="C772" s="325">
        <v>0.4</v>
      </c>
      <c r="D772" s="325">
        <v>0.4</v>
      </c>
      <c r="E772" s="325" t="s">
        <v>747</v>
      </c>
      <c r="F772" s="325">
        <v>0.24</v>
      </c>
      <c r="G772" s="324">
        <v>0.1</v>
      </c>
    </row>
    <row r="773" spans="1:7" x14ac:dyDescent="0.3">
      <c r="A773" s="326" t="s">
        <v>1061</v>
      </c>
      <c r="B773" s="325">
        <v>13600</v>
      </c>
      <c r="C773" s="325">
        <v>0.15</v>
      </c>
      <c r="D773" s="325">
        <v>0.15</v>
      </c>
      <c r="E773" s="325" t="s">
        <v>719</v>
      </c>
      <c r="F773" s="325">
        <v>7.0000000000000007E-2</v>
      </c>
      <c r="G773" s="324">
        <v>0.04</v>
      </c>
    </row>
    <row r="774" spans="1:7" x14ac:dyDescent="0.3">
      <c r="A774" s="326" t="s">
        <v>1060</v>
      </c>
      <c r="B774" s="325">
        <v>73616</v>
      </c>
      <c r="C774" s="325">
        <v>0.25</v>
      </c>
      <c r="D774" s="325">
        <v>0.2</v>
      </c>
      <c r="E774" s="325" t="s">
        <v>747</v>
      </c>
      <c r="F774" s="325">
        <v>7.0000000000000007E-2</v>
      </c>
      <c r="G774" s="324">
        <v>0.04</v>
      </c>
    </row>
    <row r="775" spans="1:7" x14ac:dyDescent="0.3">
      <c r="A775" s="326" t="s">
        <v>1059</v>
      </c>
      <c r="B775" s="325">
        <v>76616</v>
      </c>
      <c r="C775" s="325">
        <v>0.25</v>
      </c>
      <c r="D775" s="325">
        <v>0.25</v>
      </c>
      <c r="E775" s="325" t="s">
        <v>747</v>
      </c>
      <c r="F775" s="325">
        <v>0.16</v>
      </c>
      <c r="G775" s="324">
        <v>0.1</v>
      </c>
    </row>
    <row r="776" spans="1:7" x14ac:dyDescent="0.3">
      <c r="A776" s="326" t="s">
        <v>1058</v>
      </c>
      <c r="B776" s="325">
        <v>44001</v>
      </c>
      <c r="C776" s="325">
        <v>0.1</v>
      </c>
      <c r="D776" s="325">
        <v>0.15</v>
      </c>
      <c r="E776" s="325" t="s">
        <v>719</v>
      </c>
      <c r="F776" s="325">
        <v>7.0000000000000007E-2</v>
      </c>
      <c r="G776" s="324">
        <v>0.04</v>
      </c>
    </row>
    <row r="777" spans="1:7" x14ac:dyDescent="0.3">
      <c r="A777" s="326" t="s">
        <v>1057</v>
      </c>
      <c r="B777" s="325">
        <v>5615</v>
      </c>
      <c r="C777" s="325">
        <v>0.15</v>
      </c>
      <c r="D777" s="325">
        <v>0.2</v>
      </c>
      <c r="E777" s="325" t="s">
        <v>719</v>
      </c>
      <c r="F777" s="325">
        <v>0.12</v>
      </c>
      <c r="G777" s="324">
        <v>0.06</v>
      </c>
    </row>
    <row r="778" spans="1:7" x14ac:dyDescent="0.3">
      <c r="A778" s="326" t="s">
        <v>1057</v>
      </c>
      <c r="B778" s="325">
        <v>68615</v>
      </c>
      <c r="C778" s="325">
        <v>0.2</v>
      </c>
      <c r="D778" s="325">
        <v>0.2</v>
      </c>
      <c r="E778" s="325" t="s">
        <v>719</v>
      </c>
      <c r="F778" s="325">
        <v>7.0000000000000007E-2</v>
      </c>
      <c r="G778" s="324">
        <v>0.04</v>
      </c>
    </row>
    <row r="779" spans="1:7" x14ac:dyDescent="0.3">
      <c r="A779" s="326" t="s">
        <v>1056</v>
      </c>
      <c r="B779" s="325">
        <v>17614</v>
      </c>
      <c r="C779" s="325">
        <v>0.25</v>
      </c>
      <c r="D779" s="325">
        <v>0.3</v>
      </c>
      <c r="E779" s="325" t="s">
        <v>747</v>
      </c>
      <c r="F779" s="325">
        <v>0.2</v>
      </c>
      <c r="G779" s="324">
        <v>0.1</v>
      </c>
    </row>
    <row r="780" spans="1:7" x14ac:dyDescent="0.3">
      <c r="A780" s="326" t="s">
        <v>1056</v>
      </c>
      <c r="B780" s="325">
        <v>27615</v>
      </c>
      <c r="C780" s="325">
        <v>0.35</v>
      </c>
      <c r="D780" s="325">
        <v>0.35</v>
      </c>
      <c r="E780" s="325" t="s">
        <v>747</v>
      </c>
      <c r="F780" s="325">
        <v>0.24</v>
      </c>
      <c r="G780" s="324">
        <v>0.1</v>
      </c>
    </row>
    <row r="781" spans="1:7" x14ac:dyDescent="0.3">
      <c r="A781" s="326" t="s">
        <v>1055</v>
      </c>
      <c r="B781" s="325">
        <v>17616</v>
      </c>
      <c r="C781" s="325">
        <v>0.25</v>
      </c>
      <c r="D781" s="325">
        <v>0.3</v>
      </c>
      <c r="E781" s="325" t="s">
        <v>747</v>
      </c>
      <c r="F781" s="325">
        <v>0.2</v>
      </c>
      <c r="G781" s="324">
        <v>0.1</v>
      </c>
    </row>
    <row r="782" spans="1:7" x14ac:dyDescent="0.3">
      <c r="A782" s="326" t="s">
        <v>1054</v>
      </c>
      <c r="B782" s="325">
        <v>41615</v>
      </c>
      <c r="C782" s="325">
        <v>0.3</v>
      </c>
      <c r="D782" s="325">
        <v>0.2</v>
      </c>
      <c r="E782" s="325" t="s">
        <v>747</v>
      </c>
      <c r="F782" s="325">
        <v>0.2</v>
      </c>
      <c r="G782" s="324">
        <v>0.08</v>
      </c>
    </row>
    <row r="783" spans="1:7" x14ac:dyDescent="0.3">
      <c r="A783" s="326" t="s">
        <v>1053</v>
      </c>
      <c r="B783" s="325">
        <v>52621</v>
      </c>
      <c r="C783" s="325">
        <v>0.45</v>
      </c>
      <c r="D783" s="325">
        <v>0.4</v>
      </c>
      <c r="E783" s="325" t="s">
        <v>747</v>
      </c>
      <c r="F783" s="325">
        <v>0.16</v>
      </c>
      <c r="G783" s="324">
        <v>0.08</v>
      </c>
    </row>
    <row r="784" spans="1:7" x14ac:dyDescent="0.3">
      <c r="A784" s="326" t="s">
        <v>1052</v>
      </c>
      <c r="B784" s="325">
        <v>76622</v>
      </c>
      <c r="C784" s="325">
        <v>0.25</v>
      </c>
      <c r="D784" s="325">
        <v>0.25</v>
      </c>
      <c r="E784" s="325" t="s">
        <v>747</v>
      </c>
      <c r="F784" s="325">
        <v>0.16</v>
      </c>
      <c r="G784" s="324">
        <v>0.1</v>
      </c>
    </row>
    <row r="785" spans="1:7" x14ac:dyDescent="0.3">
      <c r="A785" s="326" t="s">
        <v>1051</v>
      </c>
      <c r="B785" s="325">
        <v>73622</v>
      </c>
      <c r="C785" s="325">
        <v>0.25</v>
      </c>
      <c r="D785" s="325">
        <v>0.2</v>
      </c>
      <c r="E785" s="325" t="s">
        <v>747</v>
      </c>
      <c r="F785" s="325">
        <v>0.15</v>
      </c>
      <c r="G785" s="324">
        <v>0.08</v>
      </c>
    </row>
    <row r="786" spans="1:7" x14ac:dyDescent="0.3">
      <c r="A786" s="326" t="s">
        <v>1050</v>
      </c>
      <c r="B786" s="325">
        <v>15621</v>
      </c>
      <c r="C786" s="325">
        <v>0.2</v>
      </c>
      <c r="D786" s="325">
        <v>0.25</v>
      </c>
      <c r="E786" s="325" t="s">
        <v>747</v>
      </c>
      <c r="F786" s="325">
        <v>0.16</v>
      </c>
      <c r="G786" s="324">
        <v>0.08</v>
      </c>
    </row>
    <row r="787" spans="1:7" x14ac:dyDescent="0.3">
      <c r="A787" s="326" t="s">
        <v>1049</v>
      </c>
      <c r="B787" s="325">
        <v>19622</v>
      </c>
      <c r="C787" s="325">
        <v>0.25</v>
      </c>
      <c r="D787" s="325">
        <v>0.2</v>
      </c>
      <c r="E787" s="325" t="s">
        <v>747</v>
      </c>
      <c r="F787" s="325">
        <v>0.16</v>
      </c>
      <c r="G787" s="324">
        <v>0.08</v>
      </c>
    </row>
    <row r="788" spans="1:7" x14ac:dyDescent="0.3">
      <c r="A788" s="326" t="s">
        <v>1048</v>
      </c>
      <c r="B788" s="325">
        <v>73624</v>
      </c>
      <c r="C788" s="325">
        <v>0.2</v>
      </c>
      <c r="D788" s="325">
        <v>0.2</v>
      </c>
      <c r="E788" s="325" t="s">
        <v>719</v>
      </c>
      <c r="F788" s="325">
        <v>0.12</v>
      </c>
      <c r="G788" s="324">
        <v>7.0000000000000007E-2</v>
      </c>
    </row>
    <row r="789" spans="1:7" x14ac:dyDescent="0.3">
      <c r="A789" s="326" t="s">
        <v>1047</v>
      </c>
      <c r="B789" s="325">
        <v>68655</v>
      </c>
      <c r="C789" s="325">
        <v>0.2</v>
      </c>
      <c r="D789" s="325">
        <v>0.15</v>
      </c>
      <c r="E789" s="325" t="s">
        <v>719</v>
      </c>
      <c r="F789" s="325">
        <v>0.06</v>
      </c>
      <c r="G789" s="324">
        <v>0.04</v>
      </c>
    </row>
    <row r="790" spans="1:7" x14ac:dyDescent="0.3">
      <c r="A790" s="326" t="s">
        <v>1046</v>
      </c>
      <c r="B790" s="325">
        <v>8634</v>
      </c>
      <c r="C790" s="325">
        <v>0.1</v>
      </c>
      <c r="D790" s="325">
        <v>0.1</v>
      </c>
      <c r="E790" s="325" t="s">
        <v>743</v>
      </c>
      <c r="F790" s="325">
        <v>7.0000000000000007E-2</v>
      </c>
      <c r="G790" s="324">
        <v>0.03</v>
      </c>
    </row>
    <row r="791" spans="1:7" x14ac:dyDescent="0.3">
      <c r="A791" s="326" t="s">
        <v>1045</v>
      </c>
      <c r="B791" s="325">
        <v>85300</v>
      </c>
      <c r="C791" s="325">
        <v>0.35</v>
      </c>
      <c r="D791" s="325">
        <v>0.3</v>
      </c>
      <c r="E791" s="325" t="s">
        <v>747</v>
      </c>
      <c r="F791" s="325">
        <v>0.13</v>
      </c>
      <c r="G791" s="324">
        <v>0.05</v>
      </c>
    </row>
    <row r="792" spans="1:7" x14ac:dyDescent="0.3">
      <c r="A792" s="326" t="s">
        <v>1045</v>
      </c>
      <c r="B792" s="325">
        <v>8638</v>
      </c>
      <c r="C792" s="325">
        <v>0.1</v>
      </c>
      <c r="D792" s="325">
        <v>0.1</v>
      </c>
      <c r="E792" s="325" t="s">
        <v>743</v>
      </c>
      <c r="F792" s="325">
        <v>0.05</v>
      </c>
      <c r="G792" s="324">
        <v>0.03</v>
      </c>
    </row>
    <row r="793" spans="1:7" x14ac:dyDescent="0.3">
      <c r="A793" s="326" t="s">
        <v>1045</v>
      </c>
      <c r="B793" s="325">
        <v>5628</v>
      </c>
      <c r="C793" s="325">
        <v>0.2</v>
      </c>
      <c r="D793" s="325">
        <v>0.2</v>
      </c>
      <c r="E793" s="325" t="s">
        <v>719</v>
      </c>
      <c r="F793" s="325">
        <v>0.13</v>
      </c>
      <c r="G793" s="324">
        <v>7.0000000000000007E-2</v>
      </c>
    </row>
    <row r="794" spans="1:7" x14ac:dyDescent="0.3">
      <c r="A794" s="326" t="s">
        <v>1044</v>
      </c>
      <c r="B794" s="325">
        <v>47660</v>
      </c>
      <c r="C794" s="325">
        <v>0.1</v>
      </c>
      <c r="D794" s="325">
        <v>0.1</v>
      </c>
      <c r="E794" s="325" t="s">
        <v>743</v>
      </c>
      <c r="F794" s="325">
        <v>0.04</v>
      </c>
      <c r="G794" s="324">
        <v>0.02</v>
      </c>
    </row>
    <row r="795" spans="1:7" x14ac:dyDescent="0.3">
      <c r="A795" s="326" t="s">
        <v>1043</v>
      </c>
      <c r="B795" s="325">
        <v>5631</v>
      </c>
      <c r="C795" s="325">
        <v>0.15</v>
      </c>
      <c r="D795" s="325">
        <v>0.2</v>
      </c>
      <c r="E795" s="325" t="s">
        <v>719</v>
      </c>
      <c r="F795" s="325">
        <v>0.14000000000000001</v>
      </c>
      <c r="G795" s="324">
        <v>0.08</v>
      </c>
    </row>
    <row r="796" spans="1:7" x14ac:dyDescent="0.3">
      <c r="A796" s="326" t="s">
        <v>1042</v>
      </c>
      <c r="B796" s="325">
        <v>15632</v>
      </c>
      <c r="C796" s="325">
        <v>0.15</v>
      </c>
      <c r="D796" s="325">
        <v>0.2</v>
      </c>
      <c r="E796" s="325" t="s">
        <v>719</v>
      </c>
      <c r="F796" s="325">
        <v>0.1</v>
      </c>
      <c r="G796" s="324">
        <v>0.06</v>
      </c>
    </row>
    <row r="797" spans="1:7" x14ac:dyDescent="0.3">
      <c r="A797" s="326" t="s">
        <v>1041</v>
      </c>
      <c r="B797" s="325">
        <v>85315</v>
      </c>
      <c r="C797" s="325">
        <v>0.35</v>
      </c>
      <c r="D797" s="325">
        <v>0.25</v>
      </c>
      <c r="E797" s="325" t="s">
        <v>747</v>
      </c>
      <c r="F797" s="325">
        <v>0.16</v>
      </c>
      <c r="G797" s="324">
        <v>0.08</v>
      </c>
    </row>
    <row r="798" spans="1:7" x14ac:dyDescent="0.3">
      <c r="A798" s="326" t="s">
        <v>1040</v>
      </c>
      <c r="B798" s="325">
        <v>15638</v>
      </c>
      <c r="C798" s="325">
        <v>0.2</v>
      </c>
      <c r="D798" s="325">
        <v>0.2</v>
      </c>
      <c r="E798" s="325" t="s">
        <v>719</v>
      </c>
      <c r="F798" s="325">
        <v>0.09</v>
      </c>
      <c r="G798" s="324">
        <v>0.05</v>
      </c>
    </row>
    <row r="799" spans="1:7" x14ac:dyDescent="0.3">
      <c r="A799" s="326" t="s">
        <v>1039</v>
      </c>
      <c r="B799" s="325">
        <v>23660</v>
      </c>
      <c r="C799" s="325">
        <v>0.15</v>
      </c>
      <c r="D799" s="325">
        <v>0.15</v>
      </c>
      <c r="E799" s="325" t="s">
        <v>719</v>
      </c>
      <c r="F799" s="325">
        <v>0.08</v>
      </c>
      <c r="G799" s="324">
        <v>0.04</v>
      </c>
    </row>
    <row r="800" spans="1:7" x14ac:dyDescent="0.3">
      <c r="A800" s="326" t="s">
        <v>1038</v>
      </c>
      <c r="B800" s="325">
        <v>41660</v>
      </c>
      <c r="C800" s="325">
        <v>0.25</v>
      </c>
      <c r="D800" s="325">
        <v>0.2</v>
      </c>
      <c r="E800" s="325" t="s">
        <v>747</v>
      </c>
      <c r="F800" s="325">
        <v>0.2</v>
      </c>
      <c r="G800" s="324">
        <v>7.0000000000000007E-2</v>
      </c>
    </row>
    <row r="801" spans="1:7" x14ac:dyDescent="0.3">
      <c r="A801" s="326" t="s">
        <v>1037</v>
      </c>
      <c r="B801" s="325">
        <v>17653</v>
      </c>
      <c r="C801" s="325">
        <v>0.25</v>
      </c>
      <c r="D801" s="325">
        <v>0.25</v>
      </c>
      <c r="E801" s="325" t="s">
        <v>747</v>
      </c>
      <c r="F801" s="325">
        <v>0.18</v>
      </c>
      <c r="G801" s="324">
        <v>0.09</v>
      </c>
    </row>
    <row r="802" spans="1:7" x14ac:dyDescent="0.3">
      <c r="A802" s="326" t="s">
        <v>1037</v>
      </c>
      <c r="B802" s="325">
        <v>47675</v>
      </c>
      <c r="C802" s="325">
        <v>0.1</v>
      </c>
      <c r="D802" s="325">
        <v>0.1</v>
      </c>
      <c r="E802" s="325" t="s">
        <v>743</v>
      </c>
      <c r="F802" s="325">
        <v>0.04</v>
      </c>
      <c r="G802" s="324">
        <v>0.02</v>
      </c>
    </row>
    <row r="803" spans="1:7" x14ac:dyDescent="0.3">
      <c r="A803" s="326" t="s">
        <v>1036</v>
      </c>
      <c r="B803" s="325">
        <v>54660</v>
      </c>
      <c r="C803" s="325">
        <v>0.3</v>
      </c>
      <c r="D803" s="325">
        <v>0.25</v>
      </c>
      <c r="E803" s="325" t="s">
        <v>747</v>
      </c>
      <c r="F803" s="325">
        <v>0.09</v>
      </c>
      <c r="G803" s="324">
        <v>0.04</v>
      </c>
    </row>
    <row r="804" spans="1:7" x14ac:dyDescent="0.3">
      <c r="A804" s="326" t="s">
        <v>1035</v>
      </c>
      <c r="B804" s="325">
        <v>73671</v>
      </c>
      <c r="C804" s="325">
        <v>0.25</v>
      </c>
      <c r="D804" s="325">
        <v>0.2</v>
      </c>
      <c r="E804" s="325" t="s">
        <v>747</v>
      </c>
      <c r="F804" s="325">
        <v>0.11</v>
      </c>
      <c r="G804" s="324">
        <v>0.06</v>
      </c>
    </row>
    <row r="805" spans="1:7" x14ac:dyDescent="0.3">
      <c r="A805" s="326" t="s">
        <v>1034</v>
      </c>
      <c r="B805" s="325">
        <v>63690</v>
      </c>
      <c r="C805" s="325">
        <v>0.25</v>
      </c>
      <c r="D805" s="325">
        <v>0.25</v>
      </c>
      <c r="E805" s="325" t="s">
        <v>747</v>
      </c>
      <c r="F805" s="325">
        <v>0.18</v>
      </c>
      <c r="G805" s="324">
        <v>0.09</v>
      </c>
    </row>
    <row r="806" spans="1:7" x14ac:dyDescent="0.3">
      <c r="A806" s="326" t="s">
        <v>1033</v>
      </c>
      <c r="B806" s="325">
        <v>5642</v>
      </c>
      <c r="C806" s="325">
        <v>0.25</v>
      </c>
      <c r="D806" s="325">
        <v>0.25</v>
      </c>
      <c r="E806" s="325" t="s">
        <v>747</v>
      </c>
      <c r="F806" s="325">
        <v>0.15</v>
      </c>
      <c r="G806" s="324">
        <v>0.09</v>
      </c>
    </row>
    <row r="807" spans="1:7" x14ac:dyDescent="0.3">
      <c r="A807" s="326" t="s">
        <v>1032</v>
      </c>
      <c r="B807" s="325">
        <v>15646</v>
      </c>
      <c r="C807" s="325">
        <v>0.2</v>
      </c>
      <c r="D807" s="325">
        <v>0.2</v>
      </c>
      <c r="E807" s="325" t="s">
        <v>719</v>
      </c>
      <c r="F807" s="325">
        <v>0.1</v>
      </c>
      <c r="G807" s="324">
        <v>0.05</v>
      </c>
    </row>
    <row r="808" spans="1:7" x14ac:dyDescent="0.3">
      <c r="A808" s="326" t="s">
        <v>1031</v>
      </c>
      <c r="B808" s="325">
        <v>17662</v>
      </c>
      <c r="C808" s="325">
        <v>0.2</v>
      </c>
      <c r="D808" s="325">
        <v>0.2</v>
      </c>
      <c r="E808" s="325" t="s">
        <v>719</v>
      </c>
      <c r="F808" s="325">
        <v>0.19</v>
      </c>
      <c r="G808" s="324">
        <v>0.09</v>
      </c>
    </row>
    <row r="809" spans="1:7" x14ac:dyDescent="0.3">
      <c r="A809" s="326" t="s">
        <v>1030</v>
      </c>
      <c r="B809" s="325">
        <v>52678</v>
      </c>
      <c r="C809" s="325">
        <v>0.3</v>
      </c>
      <c r="D809" s="325">
        <v>0.3</v>
      </c>
      <c r="E809" s="325" t="s">
        <v>747</v>
      </c>
      <c r="F809" s="325">
        <v>0.13</v>
      </c>
      <c r="G809" s="324">
        <v>0.08</v>
      </c>
    </row>
    <row r="810" spans="1:7" x14ac:dyDescent="0.3">
      <c r="A810" s="326" t="s">
        <v>1029</v>
      </c>
      <c r="B810" s="325">
        <v>70670</v>
      </c>
      <c r="C810" s="325">
        <v>0.1</v>
      </c>
      <c r="D810" s="325">
        <v>0.15</v>
      </c>
      <c r="E810" s="325" t="s">
        <v>719</v>
      </c>
      <c r="F810" s="325">
        <v>0.06</v>
      </c>
      <c r="G810" s="324">
        <v>0.04</v>
      </c>
    </row>
    <row r="811" spans="1:7" x14ac:dyDescent="0.3">
      <c r="A811" s="326" t="s">
        <v>1028</v>
      </c>
      <c r="B811" s="325">
        <v>41668</v>
      </c>
      <c r="C811" s="325">
        <v>0.25</v>
      </c>
      <c r="D811" s="325">
        <v>0.2</v>
      </c>
      <c r="E811" s="325" t="s">
        <v>747</v>
      </c>
      <c r="F811" s="325">
        <v>0.19</v>
      </c>
      <c r="G811" s="324">
        <v>0.08</v>
      </c>
    </row>
    <row r="812" spans="1:7" x14ac:dyDescent="0.3">
      <c r="A812" s="326" t="s">
        <v>1027</v>
      </c>
      <c r="B812" s="325">
        <v>20710</v>
      </c>
      <c r="C812" s="325">
        <v>0.2</v>
      </c>
      <c r="D812" s="325">
        <v>0.15</v>
      </c>
      <c r="E812" s="325" t="s">
        <v>719</v>
      </c>
      <c r="F812" s="325">
        <v>0.08</v>
      </c>
      <c r="G812" s="324">
        <v>0.04</v>
      </c>
    </row>
    <row r="813" spans="1:7" x14ac:dyDescent="0.3">
      <c r="A813" s="326" t="s">
        <v>1026</v>
      </c>
      <c r="B813" s="325">
        <v>68669</v>
      </c>
      <c r="C813" s="325">
        <v>0.25</v>
      </c>
      <c r="D813" s="325">
        <v>0.25</v>
      </c>
      <c r="E813" s="325" t="s">
        <v>747</v>
      </c>
      <c r="F813" s="325">
        <v>0.09</v>
      </c>
      <c r="G813" s="324">
        <v>0.05</v>
      </c>
    </row>
    <row r="814" spans="1:7" x14ac:dyDescent="0.3">
      <c r="A814" s="326" t="s">
        <v>1026</v>
      </c>
      <c r="B814" s="325">
        <v>88001</v>
      </c>
      <c r="C814" s="325">
        <v>0.1</v>
      </c>
      <c r="D814" s="325">
        <v>0.1</v>
      </c>
      <c r="E814" s="325" t="s">
        <v>743</v>
      </c>
      <c r="F814" s="325">
        <v>0.05</v>
      </c>
      <c r="G814" s="324">
        <v>0.03</v>
      </c>
    </row>
    <row r="815" spans="1:7" x14ac:dyDescent="0.3">
      <c r="A815" s="326" t="s">
        <v>1026</v>
      </c>
      <c r="B815" s="325">
        <v>5647</v>
      </c>
      <c r="C815" s="325">
        <v>0.15</v>
      </c>
      <c r="D815" s="325">
        <v>0.2</v>
      </c>
      <c r="E815" s="325" t="s">
        <v>719</v>
      </c>
      <c r="F815" s="325">
        <v>0.12</v>
      </c>
      <c r="G815" s="324">
        <v>0.06</v>
      </c>
    </row>
    <row r="816" spans="1:7" x14ac:dyDescent="0.3">
      <c r="A816" s="326" t="s">
        <v>1025</v>
      </c>
      <c r="B816" s="325">
        <v>23670</v>
      </c>
      <c r="C816" s="325">
        <v>0.1</v>
      </c>
      <c r="D816" s="325">
        <v>0.15</v>
      </c>
      <c r="E816" s="325" t="s">
        <v>719</v>
      </c>
      <c r="F816" s="325">
        <v>0.08</v>
      </c>
      <c r="G816" s="324">
        <v>0.04</v>
      </c>
    </row>
    <row r="817" spans="1:7" x14ac:dyDescent="0.3">
      <c r="A817" s="326" t="s">
        <v>1024</v>
      </c>
      <c r="B817" s="325">
        <v>23672</v>
      </c>
      <c r="C817" s="325">
        <v>0.1</v>
      </c>
      <c r="D817" s="325">
        <v>0.15</v>
      </c>
      <c r="E817" s="325" t="s">
        <v>719</v>
      </c>
      <c r="F817" s="325">
        <v>0.05</v>
      </c>
      <c r="G817" s="324">
        <v>0.03</v>
      </c>
    </row>
    <row r="818" spans="1:7" x14ac:dyDescent="0.3">
      <c r="A818" s="326" t="s">
        <v>1023</v>
      </c>
      <c r="B818" s="325">
        <v>73675</v>
      </c>
      <c r="C818" s="325">
        <v>0.25</v>
      </c>
      <c r="D818" s="325">
        <v>0.2</v>
      </c>
      <c r="E818" s="325" t="s">
        <v>747</v>
      </c>
      <c r="F818" s="325">
        <v>0.1</v>
      </c>
      <c r="G818" s="324">
        <v>0.06</v>
      </c>
    </row>
    <row r="819" spans="1:7" x14ac:dyDescent="0.3">
      <c r="A819" s="326" t="s">
        <v>1022</v>
      </c>
      <c r="B819" s="325">
        <v>25645</v>
      </c>
      <c r="C819" s="325">
        <v>0.15</v>
      </c>
      <c r="D819" s="325">
        <v>0.2</v>
      </c>
      <c r="E819" s="325" t="s">
        <v>719</v>
      </c>
      <c r="F819" s="325">
        <v>0.1</v>
      </c>
      <c r="G819" s="324">
        <v>0.06</v>
      </c>
    </row>
    <row r="820" spans="1:7" x14ac:dyDescent="0.3">
      <c r="A820" s="326" t="s">
        <v>1021</v>
      </c>
      <c r="B820" s="325">
        <v>68673</v>
      </c>
      <c r="C820" s="325">
        <v>0.15</v>
      </c>
      <c r="D820" s="325">
        <v>0.2</v>
      </c>
      <c r="E820" s="325" t="s">
        <v>719</v>
      </c>
      <c r="F820" s="325">
        <v>0.12</v>
      </c>
      <c r="G820" s="324">
        <v>7.0000000000000007E-2</v>
      </c>
    </row>
    <row r="821" spans="1:7" x14ac:dyDescent="0.3">
      <c r="A821" s="326" t="s">
        <v>1020</v>
      </c>
      <c r="B821" s="325">
        <v>70678</v>
      </c>
      <c r="C821" s="325">
        <v>0.1</v>
      </c>
      <c r="D821" s="325">
        <v>0.15</v>
      </c>
      <c r="E821" s="325" t="s">
        <v>719</v>
      </c>
      <c r="F821" s="325">
        <v>0.04</v>
      </c>
      <c r="G821" s="324">
        <v>0.03</v>
      </c>
    </row>
    <row r="822" spans="1:7" x14ac:dyDescent="0.3">
      <c r="A822" s="326" t="s">
        <v>1019</v>
      </c>
      <c r="B822" s="325">
        <v>25649</v>
      </c>
      <c r="C822" s="325">
        <v>0.25</v>
      </c>
      <c r="D822" s="325">
        <v>0.2</v>
      </c>
      <c r="E822" s="325" t="s">
        <v>747</v>
      </c>
      <c r="F822" s="325">
        <v>0.1</v>
      </c>
      <c r="G822" s="324">
        <v>0.05</v>
      </c>
    </row>
    <row r="823" spans="1:7" x14ac:dyDescent="0.3">
      <c r="A823" s="326" t="s">
        <v>1019</v>
      </c>
      <c r="B823" s="325">
        <v>52685</v>
      </c>
      <c r="C823" s="325">
        <v>0.25</v>
      </c>
      <c r="D823" s="325">
        <v>0.25</v>
      </c>
      <c r="E823" s="325" t="s">
        <v>747</v>
      </c>
      <c r="F823" s="325">
        <v>0.16</v>
      </c>
      <c r="G823" s="324">
        <v>0.08</v>
      </c>
    </row>
    <row r="824" spans="1:7" x14ac:dyDescent="0.3">
      <c r="A824" s="326" t="s">
        <v>1018</v>
      </c>
      <c r="B824" s="325">
        <v>23675</v>
      </c>
      <c r="C824" s="325">
        <v>0.1</v>
      </c>
      <c r="D824" s="325">
        <v>0.15</v>
      </c>
      <c r="E824" s="325" t="s">
        <v>719</v>
      </c>
      <c r="F824" s="325">
        <v>0.05</v>
      </c>
      <c r="G824" s="324">
        <v>0.03</v>
      </c>
    </row>
    <row r="825" spans="1:7" x14ac:dyDescent="0.3">
      <c r="A825" s="326" t="s">
        <v>1017</v>
      </c>
      <c r="B825" s="325">
        <v>54670</v>
      </c>
      <c r="C825" s="325">
        <v>0.2</v>
      </c>
      <c r="D825" s="325">
        <v>0.15</v>
      </c>
      <c r="E825" s="325" t="s">
        <v>719</v>
      </c>
      <c r="F825" s="325">
        <v>0.05</v>
      </c>
      <c r="G825" s="324">
        <v>0.03</v>
      </c>
    </row>
    <row r="826" spans="1:7" x14ac:dyDescent="0.3">
      <c r="A826" s="326" t="s">
        <v>1016</v>
      </c>
      <c r="B826" s="325">
        <v>5649</v>
      </c>
      <c r="C826" s="325">
        <v>0.15</v>
      </c>
      <c r="D826" s="325">
        <v>0.2</v>
      </c>
      <c r="E826" s="325" t="s">
        <v>719</v>
      </c>
      <c r="F826" s="325">
        <v>0.1</v>
      </c>
      <c r="G826" s="324">
        <v>0.06</v>
      </c>
    </row>
    <row r="827" spans="1:7" x14ac:dyDescent="0.3">
      <c r="A827" s="326" t="s">
        <v>1016</v>
      </c>
      <c r="B827" s="325">
        <v>23678</v>
      </c>
      <c r="C827" s="325">
        <v>0.1</v>
      </c>
      <c r="D827" s="325">
        <v>0.15</v>
      </c>
      <c r="E827" s="325" t="s">
        <v>719</v>
      </c>
      <c r="F827" s="325">
        <v>0.08</v>
      </c>
      <c r="G827" s="324">
        <v>0.04</v>
      </c>
    </row>
    <row r="828" spans="1:7" x14ac:dyDescent="0.3">
      <c r="A828" s="326" t="s">
        <v>1015</v>
      </c>
      <c r="B828" s="325">
        <v>50680</v>
      </c>
      <c r="C828" s="325">
        <v>0.15</v>
      </c>
      <c r="D828" s="325">
        <v>0.2</v>
      </c>
      <c r="E828" s="325" t="s">
        <v>719</v>
      </c>
      <c r="F828" s="325">
        <v>0.05</v>
      </c>
      <c r="G828" s="324">
        <v>0.03</v>
      </c>
    </row>
    <row r="829" spans="1:7" x14ac:dyDescent="0.3">
      <c r="A829" s="326" t="s">
        <v>1014</v>
      </c>
      <c r="B829" s="325">
        <v>54673</v>
      </c>
      <c r="C829" s="325">
        <v>0.35</v>
      </c>
      <c r="D829" s="325">
        <v>0.3</v>
      </c>
      <c r="E829" s="325" t="s">
        <v>747</v>
      </c>
      <c r="F829" s="325">
        <v>0.19</v>
      </c>
      <c r="G829" s="324">
        <v>0.08</v>
      </c>
    </row>
    <row r="830" spans="1:7" x14ac:dyDescent="0.3">
      <c r="A830" s="326" t="s">
        <v>1014</v>
      </c>
      <c r="B830" s="325">
        <v>25653</v>
      </c>
      <c r="C830" s="325">
        <v>0.15</v>
      </c>
      <c r="D830" s="325">
        <v>0.15</v>
      </c>
      <c r="E830" s="325" t="s">
        <v>719</v>
      </c>
      <c r="F830" s="325">
        <v>0.1</v>
      </c>
      <c r="G830" s="324">
        <v>0.06</v>
      </c>
    </row>
    <row r="831" spans="1:7" x14ac:dyDescent="0.3">
      <c r="A831" s="326" t="s">
        <v>1013</v>
      </c>
      <c r="B831" s="325">
        <v>13620</v>
      </c>
      <c r="C831" s="325">
        <v>0.1</v>
      </c>
      <c r="D831" s="325">
        <v>0.1</v>
      </c>
      <c r="E831" s="325" t="s">
        <v>743</v>
      </c>
      <c r="F831" s="325">
        <v>0.08</v>
      </c>
      <c r="G831" s="324">
        <v>0.04</v>
      </c>
    </row>
    <row r="832" spans="1:7" x14ac:dyDescent="0.3">
      <c r="A832" s="326" t="s">
        <v>1012</v>
      </c>
      <c r="B832" s="325">
        <v>20750</v>
      </c>
      <c r="C832" s="325">
        <v>0.1</v>
      </c>
      <c r="D832" s="325">
        <v>0.1</v>
      </c>
      <c r="E832" s="325" t="s">
        <v>743</v>
      </c>
      <c r="F832" s="325">
        <v>0.05</v>
      </c>
      <c r="G832" s="324">
        <v>0.03</v>
      </c>
    </row>
    <row r="833" spans="1:7" x14ac:dyDescent="0.3">
      <c r="A833" s="326" t="s">
        <v>1011</v>
      </c>
      <c r="B833" s="325">
        <v>15660</v>
      </c>
      <c r="C833" s="325">
        <v>0.25</v>
      </c>
      <c r="D833" s="325">
        <v>0.25</v>
      </c>
      <c r="E833" s="325" t="s">
        <v>747</v>
      </c>
      <c r="F833" s="325">
        <v>0.16</v>
      </c>
      <c r="G833" s="324">
        <v>0.08</v>
      </c>
    </row>
    <row r="834" spans="1:7" x14ac:dyDescent="0.3">
      <c r="A834" s="326" t="s">
        <v>1010</v>
      </c>
      <c r="B834" s="325">
        <v>13647</v>
      </c>
      <c r="C834" s="325">
        <v>0.1</v>
      </c>
      <c r="D834" s="325">
        <v>0.1</v>
      </c>
      <c r="E834" s="325" t="s">
        <v>743</v>
      </c>
      <c r="F834" s="325">
        <v>0.06</v>
      </c>
      <c r="G834" s="324">
        <v>0.03</v>
      </c>
    </row>
    <row r="835" spans="1:7" x14ac:dyDescent="0.3">
      <c r="A835" s="326" t="s">
        <v>1009</v>
      </c>
      <c r="B835" s="325">
        <v>94883</v>
      </c>
      <c r="C835" s="325">
        <v>0.05</v>
      </c>
      <c r="D835" s="325">
        <v>0.05</v>
      </c>
      <c r="E835" s="325" t="s">
        <v>743</v>
      </c>
      <c r="F835" s="325">
        <v>0.04</v>
      </c>
      <c r="G835" s="324">
        <v>0.02</v>
      </c>
    </row>
    <row r="836" spans="1:7" x14ac:dyDescent="0.3">
      <c r="A836" s="326" t="s">
        <v>1008</v>
      </c>
      <c r="B836" s="325">
        <v>13650</v>
      </c>
      <c r="C836" s="325">
        <v>0.1</v>
      </c>
      <c r="D836" s="325">
        <v>0.1</v>
      </c>
      <c r="E836" s="325" t="s">
        <v>743</v>
      </c>
      <c r="F836" s="325">
        <v>0.04</v>
      </c>
      <c r="G836" s="324">
        <v>0.03</v>
      </c>
    </row>
    <row r="837" spans="1:7" x14ac:dyDescent="0.3">
      <c r="A837" s="326" t="s">
        <v>1007</v>
      </c>
      <c r="B837" s="325">
        <v>86755</v>
      </c>
      <c r="C837" s="325">
        <v>0.3</v>
      </c>
      <c r="D837" s="325">
        <v>0.25</v>
      </c>
      <c r="E837" s="325" t="s">
        <v>747</v>
      </c>
      <c r="F837" s="325">
        <v>0.16</v>
      </c>
      <c r="G837" s="324">
        <v>0.1</v>
      </c>
    </row>
    <row r="838" spans="1:7" x14ac:dyDescent="0.3">
      <c r="A838" s="326" t="s">
        <v>1007</v>
      </c>
      <c r="B838" s="325">
        <v>5652</v>
      </c>
      <c r="C838" s="325">
        <v>0.15</v>
      </c>
      <c r="D838" s="325">
        <v>0.2</v>
      </c>
      <c r="E838" s="325" t="s">
        <v>719</v>
      </c>
      <c r="F838" s="325">
        <v>0.13</v>
      </c>
      <c r="G838" s="324">
        <v>7.0000000000000007E-2</v>
      </c>
    </row>
    <row r="839" spans="1:7" x14ac:dyDescent="0.3">
      <c r="A839" s="326" t="s">
        <v>1007</v>
      </c>
      <c r="B839" s="325">
        <v>25658</v>
      </c>
      <c r="C839" s="325">
        <v>0.15</v>
      </c>
      <c r="D839" s="325">
        <v>0.2</v>
      </c>
      <c r="E839" s="325" t="s">
        <v>719</v>
      </c>
      <c r="F839" s="325">
        <v>0.11</v>
      </c>
      <c r="G839" s="324">
        <v>0.06</v>
      </c>
    </row>
    <row r="840" spans="1:7" x14ac:dyDescent="0.3">
      <c r="A840" s="326" t="s">
        <v>1006</v>
      </c>
      <c r="B840" s="325">
        <v>68679</v>
      </c>
      <c r="C840" s="325">
        <v>0.2</v>
      </c>
      <c r="D840" s="325">
        <v>0.25</v>
      </c>
      <c r="E840" s="325" t="s">
        <v>747</v>
      </c>
      <c r="F840" s="325">
        <v>0.09</v>
      </c>
      <c r="G840" s="324">
        <v>0.06</v>
      </c>
    </row>
    <row r="841" spans="1:7" x14ac:dyDescent="0.3">
      <c r="A841" s="326" t="s">
        <v>1005</v>
      </c>
      <c r="B841" s="325">
        <v>13654</v>
      </c>
      <c r="C841" s="325">
        <v>0.1</v>
      </c>
      <c r="D841" s="325">
        <v>0.1</v>
      </c>
      <c r="E841" s="325" t="s">
        <v>743</v>
      </c>
      <c r="F841" s="325">
        <v>0.08</v>
      </c>
      <c r="G841" s="324">
        <v>0.04</v>
      </c>
    </row>
    <row r="842" spans="1:7" x14ac:dyDescent="0.3">
      <c r="A842" s="326" t="s">
        <v>1004</v>
      </c>
      <c r="B842" s="325">
        <v>13655</v>
      </c>
      <c r="C842" s="325">
        <v>0.15</v>
      </c>
      <c r="D842" s="325">
        <v>0.15</v>
      </c>
      <c r="E842" s="325" t="s">
        <v>719</v>
      </c>
      <c r="F842" s="325">
        <v>0.08</v>
      </c>
      <c r="G842" s="324">
        <v>0.04</v>
      </c>
    </row>
    <row r="843" spans="1:7" x14ac:dyDescent="0.3">
      <c r="A843" s="326" t="s">
        <v>1003</v>
      </c>
      <c r="B843" s="325">
        <v>5656</v>
      </c>
      <c r="C843" s="325">
        <v>0.15</v>
      </c>
      <c r="D843" s="325">
        <v>0.2</v>
      </c>
      <c r="E843" s="325" t="s">
        <v>719</v>
      </c>
      <c r="F843" s="325">
        <v>0.15</v>
      </c>
      <c r="G843" s="324">
        <v>0.08</v>
      </c>
    </row>
    <row r="844" spans="1:7" x14ac:dyDescent="0.3">
      <c r="A844" s="326" t="s">
        <v>1002</v>
      </c>
      <c r="B844" s="325">
        <v>68682</v>
      </c>
      <c r="C844" s="325">
        <v>0.25</v>
      </c>
      <c r="D844" s="325">
        <v>0.25</v>
      </c>
      <c r="E844" s="325" t="s">
        <v>747</v>
      </c>
      <c r="F844" s="325">
        <v>0.13</v>
      </c>
      <c r="G844" s="324">
        <v>7.0000000000000007E-2</v>
      </c>
    </row>
    <row r="845" spans="1:7" x14ac:dyDescent="0.3">
      <c r="A845" s="326" t="s">
        <v>1001</v>
      </c>
      <c r="B845" s="325">
        <v>17665</v>
      </c>
      <c r="C845" s="325">
        <v>0.25</v>
      </c>
      <c r="D845" s="325">
        <v>0.3</v>
      </c>
      <c r="E845" s="325" t="s">
        <v>747</v>
      </c>
      <c r="F845" s="325">
        <v>0.2</v>
      </c>
      <c r="G845" s="324">
        <v>0.1</v>
      </c>
    </row>
    <row r="846" spans="1:7" x14ac:dyDescent="0.3">
      <c r="A846" s="326" t="s">
        <v>1000</v>
      </c>
      <c r="B846" s="325">
        <v>18610</v>
      </c>
      <c r="C846" s="325">
        <v>0.25</v>
      </c>
      <c r="D846" s="325">
        <v>0.2</v>
      </c>
      <c r="E846" s="325" t="s">
        <v>747</v>
      </c>
      <c r="F846" s="325">
        <v>0.09</v>
      </c>
      <c r="G846" s="324">
        <v>0.05</v>
      </c>
    </row>
    <row r="847" spans="1:7" x14ac:dyDescent="0.3">
      <c r="A847" s="326" t="s">
        <v>999</v>
      </c>
      <c r="B847" s="325">
        <v>5658</v>
      </c>
      <c r="C847" s="325">
        <v>0.15</v>
      </c>
      <c r="D847" s="325">
        <v>0.2</v>
      </c>
      <c r="E847" s="325" t="s">
        <v>719</v>
      </c>
      <c r="F847" s="325">
        <v>0.12</v>
      </c>
      <c r="G847" s="324">
        <v>0.06</v>
      </c>
    </row>
    <row r="848" spans="1:7" x14ac:dyDescent="0.3">
      <c r="A848" s="326" t="s">
        <v>998</v>
      </c>
      <c r="B848" s="325">
        <v>68684</v>
      </c>
      <c r="C848" s="325">
        <v>0.25</v>
      </c>
      <c r="D848" s="325">
        <v>0.25</v>
      </c>
      <c r="E848" s="325" t="s">
        <v>747</v>
      </c>
      <c r="F848" s="325">
        <v>0.1</v>
      </c>
      <c r="G848" s="324">
        <v>0.05</v>
      </c>
    </row>
    <row r="849" spans="1:7" x14ac:dyDescent="0.3">
      <c r="A849" s="326" t="s">
        <v>997</v>
      </c>
      <c r="B849" s="325">
        <v>15664</v>
      </c>
      <c r="C849" s="325">
        <v>0.15</v>
      </c>
      <c r="D849" s="325">
        <v>0.2</v>
      </c>
      <c r="E849" s="325" t="s">
        <v>719</v>
      </c>
      <c r="F849" s="325">
        <v>0.11</v>
      </c>
      <c r="G849" s="324">
        <v>0.06</v>
      </c>
    </row>
    <row r="850" spans="1:7" x14ac:dyDescent="0.3">
      <c r="A850" s="326" t="s">
        <v>1794</v>
      </c>
      <c r="B850" s="325">
        <v>23682</v>
      </c>
      <c r="C850" s="325">
        <v>0.15</v>
      </c>
      <c r="D850" s="325">
        <v>0.2</v>
      </c>
      <c r="E850" s="325" t="s">
        <v>719</v>
      </c>
      <c r="F850" s="325">
        <v>0.08</v>
      </c>
      <c r="G850" s="324">
        <v>0.04</v>
      </c>
    </row>
    <row r="851" spans="1:7" x14ac:dyDescent="0.3">
      <c r="A851" s="326" t="s">
        <v>996</v>
      </c>
      <c r="B851" s="325">
        <v>95001</v>
      </c>
      <c r="C851" s="325">
        <v>0.05</v>
      </c>
      <c r="D851" s="325">
        <v>0.05</v>
      </c>
      <c r="E851" s="325" t="s">
        <v>743</v>
      </c>
      <c r="F851" s="325">
        <v>0.04</v>
      </c>
      <c r="G851" s="324">
        <v>0.02</v>
      </c>
    </row>
    <row r="852" spans="1:7" x14ac:dyDescent="0.3">
      <c r="A852" s="326" t="s">
        <v>995</v>
      </c>
      <c r="B852" s="325">
        <v>27660</v>
      </c>
      <c r="C852" s="325">
        <v>0.35</v>
      </c>
      <c r="D852" s="325">
        <v>0.3</v>
      </c>
      <c r="E852" s="325" t="s">
        <v>747</v>
      </c>
      <c r="F852" s="325">
        <v>0.24</v>
      </c>
      <c r="G852" s="324">
        <v>0.1</v>
      </c>
    </row>
    <row r="853" spans="1:7" x14ac:dyDescent="0.3">
      <c r="A853" s="326" t="s">
        <v>994</v>
      </c>
      <c r="B853" s="325">
        <v>70702</v>
      </c>
      <c r="C853" s="325">
        <v>0.1</v>
      </c>
      <c r="D853" s="325">
        <v>0.15</v>
      </c>
      <c r="E853" s="325" t="s">
        <v>719</v>
      </c>
      <c r="F853" s="325">
        <v>0.05</v>
      </c>
      <c r="G853" s="324">
        <v>0.03</v>
      </c>
    </row>
    <row r="854" spans="1:7" x14ac:dyDescent="0.3">
      <c r="A854" s="326" t="s">
        <v>993</v>
      </c>
      <c r="B854" s="325">
        <v>50683</v>
      </c>
      <c r="C854" s="325">
        <v>0.15</v>
      </c>
      <c r="D854" s="325">
        <v>0.2</v>
      </c>
      <c r="E854" s="325" t="s">
        <v>719</v>
      </c>
      <c r="F854" s="325">
        <v>0.06</v>
      </c>
      <c r="G854" s="324">
        <v>0.03</v>
      </c>
    </row>
    <row r="855" spans="1:7" x14ac:dyDescent="0.3">
      <c r="A855" s="326" t="s">
        <v>992</v>
      </c>
      <c r="B855" s="325">
        <v>25662</v>
      </c>
      <c r="C855" s="325">
        <v>0.2</v>
      </c>
      <c r="D855" s="325">
        <v>0.2</v>
      </c>
      <c r="E855" s="325" t="s">
        <v>719</v>
      </c>
      <c r="F855" s="325">
        <v>0.16</v>
      </c>
      <c r="G855" s="324">
        <v>0.06</v>
      </c>
    </row>
    <row r="856" spans="1:7" x14ac:dyDescent="0.3">
      <c r="A856" s="326" t="s">
        <v>991</v>
      </c>
      <c r="B856" s="325">
        <v>5659</v>
      </c>
      <c r="C856" s="325">
        <v>0.1</v>
      </c>
      <c r="D856" s="325">
        <v>0.2</v>
      </c>
      <c r="E856" s="325" t="s">
        <v>719</v>
      </c>
      <c r="F856" s="325">
        <v>0.06</v>
      </c>
      <c r="G856" s="324">
        <v>0.03</v>
      </c>
    </row>
    <row r="857" spans="1:7" x14ac:dyDescent="0.3">
      <c r="A857" s="326" t="s">
        <v>990</v>
      </c>
      <c r="B857" s="325">
        <v>44650</v>
      </c>
      <c r="C857" s="325">
        <v>0.15</v>
      </c>
      <c r="D857" s="325">
        <v>0.1</v>
      </c>
      <c r="E857" s="325" t="s">
        <v>719</v>
      </c>
      <c r="F857" s="325">
        <v>0.05</v>
      </c>
      <c r="G857" s="324">
        <v>0.03</v>
      </c>
    </row>
    <row r="858" spans="1:7" x14ac:dyDescent="0.3">
      <c r="A858" s="326" t="s">
        <v>989</v>
      </c>
      <c r="B858" s="325">
        <v>13657</v>
      </c>
      <c r="C858" s="325">
        <v>0.1</v>
      </c>
      <c r="D858" s="325">
        <v>0.1</v>
      </c>
      <c r="E858" s="325" t="s">
        <v>743</v>
      </c>
      <c r="F858" s="325">
        <v>0.08</v>
      </c>
      <c r="G858" s="324">
        <v>0.04</v>
      </c>
    </row>
    <row r="859" spans="1:7" x14ac:dyDescent="0.3">
      <c r="A859" s="326" t="s">
        <v>988</v>
      </c>
      <c r="B859" s="325">
        <v>50686</v>
      </c>
      <c r="C859" s="325">
        <v>0.3</v>
      </c>
      <c r="D859" s="325">
        <v>0.25</v>
      </c>
      <c r="E859" s="325" t="s">
        <v>747</v>
      </c>
      <c r="F859" s="325">
        <v>0.2</v>
      </c>
      <c r="G859" s="324">
        <v>0.08</v>
      </c>
    </row>
    <row r="860" spans="1:7" x14ac:dyDescent="0.3">
      <c r="A860" s="326" t="s">
        <v>987</v>
      </c>
      <c r="B860" s="325">
        <v>52687</v>
      </c>
      <c r="C860" s="325">
        <v>0.25</v>
      </c>
      <c r="D860" s="325">
        <v>0.25</v>
      </c>
      <c r="E860" s="325" t="s">
        <v>747</v>
      </c>
      <c r="F860" s="325">
        <v>0.11</v>
      </c>
      <c r="G860" s="324">
        <v>7.0000000000000007E-2</v>
      </c>
    </row>
    <row r="861" spans="1:7" x14ac:dyDescent="0.3">
      <c r="A861" s="326" t="s">
        <v>986</v>
      </c>
      <c r="B861" s="325">
        <v>5660</v>
      </c>
      <c r="C861" s="325">
        <v>0.15</v>
      </c>
      <c r="D861" s="325">
        <v>0.2</v>
      </c>
      <c r="E861" s="325" t="s">
        <v>719</v>
      </c>
      <c r="F861" s="325">
        <v>0.12</v>
      </c>
      <c r="G861" s="324">
        <v>0.06</v>
      </c>
    </row>
    <row r="862" spans="1:7" x14ac:dyDescent="0.3">
      <c r="A862" s="326" t="s">
        <v>986</v>
      </c>
      <c r="B862" s="325">
        <v>73678</v>
      </c>
      <c r="C862" s="325">
        <v>0.25</v>
      </c>
      <c r="D862" s="325">
        <v>0.2</v>
      </c>
      <c r="E862" s="325" t="s">
        <v>747</v>
      </c>
      <c r="F862" s="325">
        <v>0.1</v>
      </c>
      <c r="G862" s="324">
        <v>0.06</v>
      </c>
    </row>
    <row r="863" spans="1:7" x14ac:dyDescent="0.3">
      <c r="A863" s="326" t="s">
        <v>985</v>
      </c>
      <c r="B863" s="325">
        <v>50223</v>
      </c>
      <c r="C863" s="325">
        <v>0.35</v>
      </c>
      <c r="D863" s="325">
        <v>0.25</v>
      </c>
      <c r="E863" s="325" t="s">
        <v>747</v>
      </c>
      <c r="F863" s="325">
        <v>0.2</v>
      </c>
      <c r="G863" s="324">
        <v>0.08</v>
      </c>
    </row>
    <row r="864" spans="1:7" x14ac:dyDescent="0.3">
      <c r="A864" s="326" t="s">
        <v>984</v>
      </c>
      <c r="B864" s="325">
        <v>15667</v>
      </c>
      <c r="C864" s="325">
        <v>0.35</v>
      </c>
      <c r="D864" s="325">
        <v>0.3</v>
      </c>
      <c r="E864" s="325" t="s">
        <v>747</v>
      </c>
      <c r="F864" s="325">
        <v>0.16</v>
      </c>
      <c r="G864" s="324">
        <v>7.0000000000000007E-2</v>
      </c>
    </row>
    <row r="865" spans="1:7" x14ac:dyDescent="0.3">
      <c r="A865" s="326" t="s">
        <v>983</v>
      </c>
      <c r="B865" s="325">
        <v>85325</v>
      </c>
      <c r="C865" s="325">
        <v>0.1</v>
      </c>
      <c r="D865" s="325">
        <v>0.15</v>
      </c>
      <c r="E865" s="325" t="s">
        <v>719</v>
      </c>
      <c r="F865" s="325">
        <v>0.04</v>
      </c>
      <c r="G865" s="324">
        <v>0.02</v>
      </c>
    </row>
    <row r="866" spans="1:7" x14ac:dyDescent="0.3">
      <c r="A866" s="326" t="s">
        <v>982</v>
      </c>
      <c r="B866" s="325">
        <v>70708</v>
      </c>
      <c r="C866" s="325">
        <v>0.15</v>
      </c>
      <c r="D866" s="325">
        <v>0.15</v>
      </c>
      <c r="E866" s="325" t="s">
        <v>719</v>
      </c>
      <c r="F866" s="325">
        <v>0.04</v>
      </c>
      <c r="G866" s="324">
        <v>0.04</v>
      </c>
    </row>
    <row r="867" spans="1:7" x14ac:dyDescent="0.3">
      <c r="A867" s="326" t="s">
        <v>981</v>
      </c>
      <c r="B867" s="325">
        <v>20770</v>
      </c>
      <c r="C867" s="325">
        <v>0.2</v>
      </c>
      <c r="D867" s="325">
        <v>0.15</v>
      </c>
      <c r="E867" s="325" t="s">
        <v>719</v>
      </c>
      <c r="F867" s="325">
        <v>0.08</v>
      </c>
      <c r="G867" s="324">
        <v>0.04</v>
      </c>
    </row>
    <row r="868" spans="1:7" x14ac:dyDescent="0.3">
      <c r="A868" s="326" t="s">
        <v>981</v>
      </c>
      <c r="B868" s="325">
        <v>50689</v>
      </c>
      <c r="C868" s="325">
        <v>0.05</v>
      </c>
      <c r="D868" s="325">
        <v>0.15</v>
      </c>
      <c r="E868" s="325" t="s">
        <v>719</v>
      </c>
      <c r="F868" s="325">
        <v>0.04</v>
      </c>
      <c r="G868" s="324">
        <v>0.02</v>
      </c>
    </row>
    <row r="869" spans="1:7" x14ac:dyDescent="0.3">
      <c r="A869" s="326" t="s">
        <v>980</v>
      </c>
      <c r="B869" s="325">
        <v>13667</v>
      </c>
      <c r="C869" s="325">
        <v>0.15</v>
      </c>
      <c r="D869" s="325">
        <v>0.15</v>
      </c>
      <c r="E869" s="325" t="s">
        <v>719</v>
      </c>
      <c r="F869" s="325">
        <v>0.06</v>
      </c>
      <c r="G869" s="324">
        <v>0.04</v>
      </c>
    </row>
    <row r="870" spans="1:7" x14ac:dyDescent="0.3">
      <c r="A870" s="326" t="s">
        <v>979</v>
      </c>
      <c r="B870" s="325">
        <v>15673</v>
      </c>
      <c r="C870" s="325">
        <v>0.25</v>
      </c>
      <c r="D870" s="325">
        <v>0.25</v>
      </c>
      <c r="E870" s="325" t="s">
        <v>747</v>
      </c>
      <c r="F870" s="325">
        <v>0.16</v>
      </c>
      <c r="G870" s="324">
        <v>0.08</v>
      </c>
    </row>
    <row r="871" spans="1:7" x14ac:dyDescent="0.3">
      <c r="A871" s="326" t="s">
        <v>978</v>
      </c>
      <c r="B871" s="325">
        <v>68686</v>
      </c>
      <c r="C871" s="325">
        <v>0.25</v>
      </c>
      <c r="D871" s="325">
        <v>0.25</v>
      </c>
      <c r="E871" s="325" t="s">
        <v>747</v>
      </c>
      <c r="F871" s="325">
        <v>0.11</v>
      </c>
      <c r="G871" s="324">
        <v>0.06</v>
      </c>
    </row>
    <row r="872" spans="1:7" x14ac:dyDescent="0.3">
      <c r="A872" s="326" t="s">
        <v>978</v>
      </c>
      <c r="B872" s="325">
        <v>86757</v>
      </c>
      <c r="C872" s="325">
        <v>0.15</v>
      </c>
      <c r="D872" s="325">
        <v>0.2</v>
      </c>
      <c r="E872" s="325" t="s">
        <v>719</v>
      </c>
      <c r="F872" s="325">
        <v>0.04</v>
      </c>
      <c r="G872" s="324">
        <v>0.02</v>
      </c>
    </row>
    <row r="873" spans="1:7" x14ac:dyDescent="0.3">
      <c r="A873" s="326" t="s">
        <v>977</v>
      </c>
      <c r="B873" s="325">
        <v>15676</v>
      </c>
      <c r="C873" s="325">
        <v>0.15</v>
      </c>
      <c r="D873" s="325">
        <v>0.2</v>
      </c>
      <c r="E873" s="325" t="s">
        <v>719</v>
      </c>
      <c r="F873" s="325">
        <v>0.09</v>
      </c>
      <c r="G873" s="324">
        <v>0.05</v>
      </c>
    </row>
    <row r="874" spans="1:7" x14ac:dyDescent="0.3">
      <c r="A874" s="326" t="s">
        <v>976</v>
      </c>
      <c r="B874" s="325">
        <v>70713</v>
      </c>
      <c r="C874" s="325">
        <v>0.1</v>
      </c>
      <c r="D874" s="325">
        <v>0.15</v>
      </c>
      <c r="E874" s="325" t="s">
        <v>719</v>
      </c>
      <c r="F874" s="325">
        <v>0.04</v>
      </c>
      <c r="G874" s="324">
        <v>0.03</v>
      </c>
    </row>
    <row r="875" spans="1:7" x14ac:dyDescent="0.3">
      <c r="A875" s="326" t="s">
        <v>975</v>
      </c>
      <c r="B875" s="325">
        <v>52693</v>
      </c>
      <c r="C875" s="325">
        <v>0.25</v>
      </c>
      <c r="D875" s="325">
        <v>0.25</v>
      </c>
      <c r="E875" s="325" t="s">
        <v>747</v>
      </c>
      <c r="F875" s="325">
        <v>0.16</v>
      </c>
      <c r="G875" s="324">
        <v>0.08</v>
      </c>
    </row>
    <row r="876" spans="1:7" x14ac:dyDescent="0.3">
      <c r="A876" s="326" t="s">
        <v>975</v>
      </c>
      <c r="B876" s="325">
        <v>13670</v>
      </c>
      <c r="C876" s="325">
        <v>0.15</v>
      </c>
      <c r="D876" s="325">
        <v>0.15</v>
      </c>
      <c r="E876" s="325" t="s">
        <v>719</v>
      </c>
      <c r="F876" s="325">
        <v>0.36</v>
      </c>
      <c r="G876" s="324">
        <v>0.04</v>
      </c>
    </row>
    <row r="877" spans="1:7" x14ac:dyDescent="0.3">
      <c r="A877" s="326" t="s">
        <v>974</v>
      </c>
      <c r="B877" s="325">
        <v>15681</v>
      </c>
      <c r="C877" s="325">
        <v>0.15</v>
      </c>
      <c r="D877" s="325">
        <v>0.15</v>
      </c>
      <c r="E877" s="325" t="s">
        <v>719</v>
      </c>
      <c r="F877" s="325">
        <v>0.16</v>
      </c>
      <c r="G877" s="324">
        <v>0.08</v>
      </c>
    </row>
    <row r="878" spans="1:7" x14ac:dyDescent="0.3">
      <c r="A878" s="326" t="s">
        <v>973</v>
      </c>
      <c r="B878" s="325">
        <v>76670</v>
      </c>
      <c r="C878" s="325">
        <v>0.25</v>
      </c>
      <c r="D878" s="325">
        <v>0.25</v>
      </c>
      <c r="E878" s="325" t="s">
        <v>747</v>
      </c>
      <c r="F878" s="325">
        <v>0.12</v>
      </c>
      <c r="G878" s="324">
        <v>0.08</v>
      </c>
    </row>
    <row r="879" spans="1:7" x14ac:dyDescent="0.3">
      <c r="A879" s="326" t="s">
        <v>973</v>
      </c>
      <c r="B879" s="325">
        <v>5664</v>
      </c>
      <c r="C879" s="325">
        <v>0.15</v>
      </c>
      <c r="D879" s="325">
        <v>0.2</v>
      </c>
      <c r="E879" s="325" t="s">
        <v>719</v>
      </c>
      <c r="F879" s="325">
        <v>0.12</v>
      </c>
      <c r="G879" s="324">
        <v>0.06</v>
      </c>
    </row>
    <row r="880" spans="1:7" x14ac:dyDescent="0.3">
      <c r="A880" s="326" t="s">
        <v>973</v>
      </c>
      <c r="B880" s="325">
        <v>70717</v>
      </c>
      <c r="C880" s="325">
        <v>0.1</v>
      </c>
      <c r="D880" s="325">
        <v>0.15</v>
      </c>
      <c r="E880" s="325" t="s">
        <v>719</v>
      </c>
      <c r="F880" s="325">
        <v>0.04</v>
      </c>
      <c r="G880" s="324">
        <v>0.03</v>
      </c>
    </row>
    <row r="881" spans="1:7" x14ac:dyDescent="0.3">
      <c r="A881" s="326" t="s">
        <v>972</v>
      </c>
      <c r="B881" s="325">
        <v>52694</v>
      </c>
      <c r="C881" s="325">
        <v>0.25</v>
      </c>
      <c r="D881" s="325">
        <v>0.25</v>
      </c>
      <c r="E881" s="325" t="s">
        <v>747</v>
      </c>
      <c r="F881" s="325">
        <v>0.15</v>
      </c>
      <c r="G881" s="324">
        <v>0.08</v>
      </c>
    </row>
    <row r="882" spans="1:7" x14ac:dyDescent="0.3">
      <c r="A882" s="326" t="s">
        <v>971</v>
      </c>
      <c r="B882" s="325">
        <v>5665</v>
      </c>
      <c r="C882" s="325">
        <v>0.15</v>
      </c>
      <c r="D882" s="325">
        <v>0.2</v>
      </c>
      <c r="E882" s="325" t="s">
        <v>719</v>
      </c>
      <c r="F882" s="325">
        <v>0.06</v>
      </c>
      <c r="G882" s="324">
        <v>0.04</v>
      </c>
    </row>
    <row r="883" spans="1:7" x14ac:dyDescent="0.3">
      <c r="A883" s="326" t="s">
        <v>970</v>
      </c>
      <c r="B883" s="325">
        <v>23686</v>
      </c>
      <c r="C883" s="325">
        <v>0.1</v>
      </c>
      <c r="D883" s="325">
        <v>0.15</v>
      </c>
      <c r="E883" s="325" t="s">
        <v>719</v>
      </c>
      <c r="F883" s="325">
        <v>0.06</v>
      </c>
      <c r="G883" s="324">
        <v>0.03</v>
      </c>
    </row>
    <row r="884" spans="1:7" x14ac:dyDescent="0.3">
      <c r="A884" s="326" t="s">
        <v>969</v>
      </c>
      <c r="B884" s="325">
        <v>5667</v>
      </c>
      <c r="C884" s="325">
        <v>0.15</v>
      </c>
      <c r="D884" s="325">
        <v>0.2</v>
      </c>
      <c r="E884" s="325" t="s">
        <v>719</v>
      </c>
      <c r="F884" s="325">
        <v>0.09</v>
      </c>
      <c r="G884" s="324">
        <v>0.05</v>
      </c>
    </row>
    <row r="885" spans="1:7" x14ac:dyDescent="0.3">
      <c r="A885" s="326" t="s">
        <v>968</v>
      </c>
      <c r="B885" s="325">
        <v>5670</v>
      </c>
      <c r="C885" s="325">
        <v>0.15</v>
      </c>
      <c r="D885" s="325">
        <v>0.2</v>
      </c>
      <c r="E885" s="325" t="s">
        <v>719</v>
      </c>
      <c r="F885" s="325">
        <v>0.08</v>
      </c>
      <c r="G885" s="324">
        <v>0.05</v>
      </c>
    </row>
    <row r="886" spans="1:7" x14ac:dyDescent="0.3">
      <c r="A886" s="326" t="s">
        <v>967</v>
      </c>
      <c r="B886" s="325">
        <v>15693</v>
      </c>
      <c r="C886" s="325">
        <v>0.2</v>
      </c>
      <c r="D886" s="325">
        <v>0.25</v>
      </c>
      <c r="E886" s="325" t="s">
        <v>747</v>
      </c>
      <c r="F886" s="325">
        <v>0.16</v>
      </c>
      <c r="G886" s="324">
        <v>0.08</v>
      </c>
    </row>
    <row r="887" spans="1:7" x14ac:dyDescent="0.3">
      <c r="A887" s="326" t="s">
        <v>966</v>
      </c>
      <c r="B887" s="325">
        <v>19693</v>
      </c>
      <c r="C887" s="325">
        <v>0.25</v>
      </c>
      <c r="D887" s="325">
        <v>0.25</v>
      </c>
      <c r="E887" s="325" t="s">
        <v>747</v>
      </c>
      <c r="F887" s="325">
        <v>0.15</v>
      </c>
      <c r="G887" s="324">
        <v>7.0000000000000007E-2</v>
      </c>
    </row>
    <row r="888" spans="1:7" x14ac:dyDescent="0.3">
      <c r="A888" s="326" t="s">
        <v>965</v>
      </c>
      <c r="B888" s="325">
        <v>47692</v>
      </c>
      <c r="C888" s="325">
        <v>0.1</v>
      </c>
      <c r="D888" s="325">
        <v>0.1</v>
      </c>
      <c r="E888" s="325" t="s">
        <v>743</v>
      </c>
      <c r="F888" s="325">
        <v>0.04</v>
      </c>
      <c r="G888" s="324">
        <v>0.02</v>
      </c>
    </row>
    <row r="889" spans="1:7" x14ac:dyDescent="0.3">
      <c r="A889" s="326" t="s">
        <v>964</v>
      </c>
      <c r="B889" s="325">
        <v>5674</v>
      </c>
      <c r="C889" s="325">
        <v>0.15</v>
      </c>
      <c r="D889" s="325">
        <v>0.2</v>
      </c>
      <c r="E889" s="325" t="s">
        <v>719</v>
      </c>
      <c r="F889" s="325">
        <v>0.11</v>
      </c>
      <c r="G889" s="324">
        <v>0.06</v>
      </c>
    </row>
    <row r="890" spans="1:7" x14ac:dyDescent="0.3">
      <c r="A890" s="326" t="s">
        <v>963</v>
      </c>
      <c r="B890" s="325">
        <v>68689</v>
      </c>
      <c r="C890" s="325">
        <v>0.15</v>
      </c>
      <c r="D890" s="325">
        <v>0.15</v>
      </c>
      <c r="E890" s="325" t="s">
        <v>719</v>
      </c>
      <c r="F890" s="325">
        <v>0.16</v>
      </c>
      <c r="G890" s="324">
        <v>0.08</v>
      </c>
    </row>
    <row r="891" spans="1:7" x14ac:dyDescent="0.3">
      <c r="A891" s="326" t="s">
        <v>962</v>
      </c>
      <c r="B891" s="325">
        <v>18753</v>
      </c>
      <c r="C891" s="325">
        <v>0.05</v>
      </c>
      <c r="D891" s="325">
        <v>0.05</v>
      </c>
      <c r="E891" s="325" t="s">
        <v>743</v>
      </c>
      <c r="F891" s="325">
        <v>0.04</v>
      </c>
      <c r="G891" s="324">
        <v>0.02</v>
      </c>
    </row>
    <row r="892" spans="1:7" x14ac:dyDescent="0.3">
      <c r="A892" s="326" t="s">
        <v>961</v>
      </c>
      <c r="B892" s="325">
        <v>47703</v>
      </c>
      <c r="C892" s="325">
        <v>0.1</v>
      </c>
      <c r="D892" s="325">
        <v>0.1</v>
      </c>
      <c r="E892" s="325" t="s">
        <v>743</v>
      </c>
      <c r="F892" s="325">
        <v>0.04</v>
      </c>
      <c r="G892" s="324">
        <v>0.02</v>
      </c>
    </row>
    <row r="893" spans="1:7" x14ac:dyDescent="0.3">
      <c r="A893" s="326" t="s">
        <v>960</v>
      </c>
      <c r="B893" s="325">
        <v>52683</v>
      </c>
      <c r="C893" s="325">
        <v>0.25</v>
      </c>
      <c r="D893" s="325">
        <v>0.25</v>
      </c>
      <c r="E893" s="325" t="s">
        <v>747</v>
      </c>
      <c r="F893" s="325">
        <v>0.13</v>
      </c>
      <c r="G893" s="324">
        <v>0.08</v>
      </c>
    </row>
    <row r="894" spans="1:7" x14ac:dyDescent="0.3">
      <c r="A894" s="326" t="s">
        <v>959</v>
      </c>
      <c r="B894" s="325">
        <v>47707</v>
      </c>
      <c r="C894" s="325">
        <v>0.1</v>
      </c>
      <c r="D894" s="325">
        <v>0.1</v>
      </c>
      <c r="E894" s="325" t="s">
        <v>743</v>
      </c>
      <c r="F894" s="325">
        <v>0.04</v>
      </c>
      <c r="G894" s="324">
        <v>0.02</v>
      </c>
    </row>
    <row r="895" spans="1:7" x14ac:dyDescent="0.3">
      <c r="A895" s="326" t="s">
        <v>958</v>
      </c>
      <c r="B895" s="325">
        <v>5679</v>
      </c>
      <c r="C895" s="325">
        <v>0.2</v>
      </c>
      <c r="D895" s="325">
        <v>0.25</v>
      </c>
      <c r="E895" s="325" t="s">
        <v>747</v>
      </c>
      <c r="F895" s="325">
        <v>0.16</v>
      </c>
      <c r="G895" s="324">
        <v>0.09</v>
      </c>
    </row>
    <row r="896" spans="1:7" x14ac:dyDescent="0.3">
      <c r="A896" s="326" t="s">
        <v>958</v>
      </c>
      <c r="B896" s="325">
        <v>52696</v>
      </c>
      <c r="C896" s="325">
        <v>0.45</v>
      </c>
      <c r="D896" s="325">
        <v>0.35</v>
      </c>
      <c r="E896" s="325" t="s">
        <v>747</v>
      </c>
      <c r="F896" s="325">
        <v>0.16</v>
      </c>
      <c r="G896" s="324">
        <v>0.08</v>
      </c>
    </row>
    <row r="897" spans="1:7" x14ac:dyDescent="0.3">
      <c r="A897" s="326" t="s">
        <v>958</v>
      </c>
      <c r="B897" s="325">
        <v>68705</v>
      </c>
      <c r="C897" s="325">
        <v>0.25</v>
      </c>
      <c r="D897" s="325">
        <v>0.25</v>
      </c>
      <c r="E897" s="325" t="s">
        <v>747</v>
      </c>
      <c r="F897" s="325">
        <v>0.09</v>
      </c>
      <c r="G897" s="324">
        <v>0.05</v>
      </c>
    </row>
    <row r="898" spans="1:7" x14ac:dyDescent="0.3">
      <c r="A898" s="326" t="s">
        <v>957</v>
      </c>
      <c r="B898" s="325">
        <v>47720</v>
      </c>
      <c r="C898" s="325">
        <v>0.1</v>
      </c>
      <c r="D898" s="325">
        <v>0.1</v>
      </c>
      <c r="E898" s="325" t="s">
        <v>743</v>
      </c>
      <c r="F898" s="325">
        <v>0.04</v>
      </c>
      <c r="G898" s="324">
        <v>0.02</v>
      </c>
    </row>
    <row r="899" spans="1:7" x14ac:dyDescent="0.3">
      <c r="A899" s="326" t="s">
        <v>956</v>
      </c>
      <c r="B899" s="325">
        <v>13673</v>
      </c>
      <c r="C899" s="325">
        <v>0.1</v>
      </c>
      <c r="D899" s="325">
        <v>0.1</v>
      </c>
      <c r="E899" s="325" t="s">
        <v>743</v>
      </c>
      <c r="F899" s="325">
        <v>0.06</v>
      </c>
      <c r="G899" s="324">
        <v>0.03</v>
      </c>
    </row>
    <row r="900" spans="1:7" x14ac:dyDescent="0.3">
      <c r="A900" s="326" t="s">
        <v>955</v>
      </c>
      <c r="B900" s="325">
        <v>68720</v>
      </c>
      <c r="C900" s="325">
        <v>0.15</v>
      </c>
      <c r="D900" s="325">
        <v>0.15</v>
      </c>
      <c r="E900" s="325" t="s">
        <v>719</v>
      </c>
      <c r="F900" s="325">
        <v>0.18</v>
      </c>
      <c r="G900" s="324">
        <v>0.1</v>
      </c>
    </row>
    <row r="901" spans="1:7" x14ac:dyDescent="0.3">
      <c r="A901" s="326" t="s">
        <v>954</v>
      </c>
      <c r="B901" s="325">
        <v>73686</v>
      </c>
      <c r="C901" s="325">
        <v>0.2</v>
      </c>
      <c r="D901" s="325">
        <v>0.2</v>
      </c>
      <c r="E901" s="325" t="s">
        <v>719</v>
      </c>
      <c r="F901" s="325">
        <v>0.13</v>
      </c>
      <c r="G901" s="324">
        <v>0.08</v>
      </c>
    </row>
    <row r="902" spans="1:7" x14ac:dyDescent="0.3">
      <c r="A902" s="326" t="s">
        <v>953</v>
      </c>
      <c r="B902" s="325">
        <v>8675</v>
      </c>
      <c r="C902" s="325">
        <v>0.1</v>
      </c>
      <c r="D902" s="325">
        <v>0.1</v>
      </c>
      <c r="E902" s="325" t="s">
        <v>743</v>
      </c>
      <c r="F902" s="325">
        <v>7.0000000000000007E-2</v>
      </c>
      <c r="G902" s="324">
        <v>0.03</v>
      </c>
    </row>
    <row r="903" spans="1:7" x14ac:dyDescent="0.3">
      <c r="A903" s="326" t="s">
        <v>952</v>
      </c>
      <c r="B903" s="325">
        <v>15690</v>
      </c>
      <c r="C903" s="325">
        <v>0.3</v>
      </c>
      <c r="D903" s="325">
        <v>0.25</v>
      </c>
      <c r="E903" s="325" t="s">
        <v>747</v>
      </c>
      <c r="F903" s="325">
        <v>0.16</v>
      </c>
      <c r="G903" s="324">
        <v>0.08</v>
      </c>
    </row>
    <row r="904" spans="1:7" x14ac:dyDescent="0.3">
      <c r="A904" s="326" t="s">
        <v>952</v>
      </c>
      <c r="B904" s="325">
        <v>41676</v>
      </c>
      <c r="C904" s="325">
        <v>0.25</v>
      </c>
      <c r="D904" s="325">
        <v>0.2</v>
      </c>
      <c r="E904" s="325" t="s">
        <v>747</v>
      </c>
      <c r="F904" s="325">
        <v>0.14000000000000001</v>
      </c>
      <c r="G904" s="324">
        <v>0.05</v>
      </c>
    </row>
    <row r="905" spans="1:7" x14ac:dyDescent="0.3">
      <c r="A905" s="326" t="s">
        <v>951</v>
      </c>
      <c r="B905" s="325">
        <v>47001</v>
      </c>
      <c r="C905" s="325">
        <v>0.15</v>
      </c>
      <c r="D905" s="325">
        <v>0.1</v>
      </c>
      <c r="E905" s="325" t="s">
        <v>719</v>
      </c>
      <c r="F905" s="325">
        <v>0.1</v>
      </c>
      <c r="G905" s="324">
        <v>0.04</v>
      </c>
    </row>
    <row r="906" spans="1:7" x14ac:dyDescent="0.3">
      <c r="A906" s="326" t="s">
        <v>950</v>
      </c>
      <c r="B906" s="325">
        <v>19701</v>
      </c>
      <c r="C906" s="325">
        <v>0.25</v>
      </c>
      <c r="D906" s="325">
        <v>0.25</v>
      </c>
      <c r="E906" s="325" t="s">
        <v>747</v>
      </c>
      <c r="F906" s="325">
        <v>0.16</v>
      </c>
      <c r="G906" s="324">
        <v>0.08</v>
      </c>
    </row>
    <row r="907" spans="1:7" x14ac:dyDescent="0.3">
      <c r="A907" s="326" t="s">
        <v>950</v>
      </c>
      <c r="B907" s="325">
        <v>13683</v>
      </c>
      <c r="C907" s="325">
        <v>0.1</v>
      </c>
      <c r="D907" s="325">
        <v>0.1</v>
      </c>
      <c r="E907" s="325" t="s">
        <v>743</v>
      </c>
      <c r="F907" s="325">
        <v>0.05</v>
      </c>
      <c r="G907" s="324">
        <v>0.03</v>
      </c>
    </row>
    <row r="908" spans="1:7" x14ac:dyDescent="0.3">
      <c r="A908" s="326" t="s">
        <v>949</v>
      </c>
      <c r="B908" s="325">
        <v>66682</v>
      </c>
      <c r="C908" s="325">
        <v>0.25</v>
      </c>
      <c r="D908" s="325">
        <v>0.25</v>
      </c>
      <c r="E908" s="325" t="s">
        <v>747</v>
      </c>
      <c r="F908" s="325">
        <v>0.18</v>
      </c>
      <c r="G908" s="324">
        <v>0.09</v>
      </c>
    </row>
    <row r="909" spans="1:7" x14ac:dyDescent="0.3">
      <c r="A909" s="326" t="s">
        <v>948</v>
      </c>
      <c r="B909" s="325">
        <v>5686</v>
      </c>
      <c r="C909" s="325">
        <v>0.15</v>
      </c>
      <c r="D909" s="325">
        <v>0.2</v>
      </c>
      <c r="E909" s="325" t="s">
        <v>719</v>
      </c>
      <c r="F909" s="325">
        <v>0.1</v>
      </c>
      <c r="G909" s="324">
        <v>0.05</v>
      </c>
    </row>
    <row r="910" spans="1:7" x14ac:dyDescent="0.3">
      <c r="A910" s="326" t="s">
        <v>947</v>
      </c>
      <c r="B910" s="325">
        <v>13688</v>
      </c>
      <c r="C910" s="325">
        <v>0.15</v>
      </c>
      <c r="D910" s="325">
        <v>0.15</v>
      </c>
      <c r="E910" s="325" t="s">
        <v>719</v>
      </c>
      <c r="F910" s="325">
        <v>0.08</v>
      </c>
      <c r="G910" s="324">
        <v>0.04</v>
      </c>
    </row>
    <row r="911" spans="1:7" x14ac:dyDescent="0.3">
      <c r="A911" s="326" t="s">
        <v>946</v>
      </c>
      <c r="B911" s="325">
        <v>99624</v>
      </c>
      <c r="C911" s="325">
        <v>0.05</v>
      </c>
      <c r="D911" s="325">
        <v>0.05</v>
      </c>
      <c r="E911" s="325" t="s">
        <v>743</v>
      </c>
      <c r="F911" s="325">
        <v>0.04</v>
      </c>
      <c r="G911" s="324">
        <v>0.02</v>
      </c>
    </row>
    <row r="912" spans="1:7" x14ac:dyDescent="0.3">
      <c r="A912" s="326" t="s">
        <v>945</v>
      </c>
      <c r="B912" s="325">
        <v>15696</v>
      </c>
      <c r="C912" s="325">
        <v>0.15</v>
      </c>
      <c r="D912" s="325">
        <v>0.2</v>
      </c>
      <c r="E912" s="325" t="s">
        <v>719</v>
      </c>
      <c r="F912" s="325">
        <v>0.09</v>
      </c>
      <c r="G912" s="324">
        <v>0.05</v>
      </c>
    </row>
    <row r="913" spans="1:7" x14ac:dyDescent="0.3">
      <c r="A913" s="326" t="s">
        <v>944</v>
      </c>
      <c r="B913" s="325">
        <v>52699</v>
      </c>
      <c r="C913" s="325">
        <v>0.3</v>
      </c>
      <c r="D913" s="325">
        <v>0.25</v>
      </c>
      <c r="E913" s="325" t="s">
        <v>747</v>
      </c>
      <c r="F913" s="325">
        <v>0.16</v>
      </c>
      <c r="G913" s="324">
        <v>0.08</v>
      </c>
    </row>
    <row r="914" spans="1:7" x14ac:dyDescent="0.3">
      <c r="A914" s="326" t="s">
        <v>943</v>
      </c>
      <c r="B914" s="325">
        <v>5042</v>
      </c>
      <c r="C914" s="325">
        <v>0.2</v>
      </c>
      <c r="D914" s="325">
        <v>0.25</v>
      </c>
      <c r="E914" s="325" t="s">
        <v>747</v>
      </c>
      <c r="F914" s="325">
        <v>0.13</v>
      </c>
      <c r="G914" s="324">
        <v>7.0000000000000007E-2</v>
      </c>
    </row>
    <row r="915" spans="1:7" x14ac:dyDescent="0.3">
      <c r="A915" s="326" t="s">
        <v>942</v>
      </c>
      <c r="B915" s="325">
        <v>15686</v>
      </c>
      <c r="C915" s="325">
        <v>0.15</v>
      </c>
      <c r="D915" s="325">
        <v>0.2</v>
      </c>
      <c r="E915" s="325" t="s">
        <v>719</v>
      </c>
      <c r="F915" s="325">
        <v>0.13</v>
      </c>
      <c r="G915" s="324">
        <v>7.0000000000000007E-2</v>
      </c>
    </row>
    <row r="916" spans="1:7" x14ac:dyDescent="0.3">
      <c r="A916" s="326" t="s">
        <v>941</v>
      </c>
      <c r="B916" s="325">
        <v>19698</v>
      </c>
      <c r="C916" s="325">
        <v>0.25</v>
      </c>
      <c r="D916" s="325">
        <v>0.2</v>
      </c>
      <c r="E916" s="325" t="s">
        <v>747</v>
      </c>
      <c r="F916" s="325">
        <v>0.14000000000000001</v>
      </c>
      <c r="G916" s="324">
        <v>0.08</v>
      </c>
    </row>
    <row r="917" spans="1:7" x14ac:dyDescent="0.3">
      <c r="A917" s="326" t="s">
        <v>940</v>
      </c>
      <c r="B917" s="325">
        <v>54680</v>
      </c>
      <c r="C917" s="325">
        <v>0.3</v>
      </c>
      <c r="D917" s="325">
        <v>0.25</v>
      </c>
      <c r="E917" s="325" t="s">
        <v>747</v>
      </c>
      <c r="F917" s="325">
        <v>0.14000000000000001</v>
      </c>
      <c r="G917" s="324">
        <v>0.06</v>
      </c>
    </row>
    <row r="918" spans="1:7" x14ac:dyDescent="0.3">
      <c r="A918" s="326" t="s">
        <v>940</v>
      </c>
      <c r="B918" s="325">
        <v>86760</v>
      </c>
      <c r="C918" s="325">
        <v>0.3</v>
      </c>
      <c r="D918" s="325">
        <v>0.25</v>
      </c>
      <c r="E918" s="325" t="s">
        <v>747</v>
      </c>
      <c r="F918" s="325">
        <v>0.17</v>
      </c>
      <c r="G918" s="324">
        <v>0.1</v>
      </c>
    </row>
    <row r="919" spans="1:7" x14ac:dyDescent="0.3">
      <c r="A919" s="326" t="s">
        <v>939</v>
      </c>
      <c r="B919" s="325">
        <v>5690</v>
      </c>
      <c r="C919" s="325">
        <v>0.15</v>
      </c>
      <c r="D919" s="325">
        <v>0.2</v>
      </c>
      <c r="E919" s="325" t="s">
        <v>719</v>
      </c>
      <c r="F919" s="325">
        <v>0.09</v>
      </c>
      <c r="G919" s="324">
        <v>0.05</v>
      </c>
    </row>
    <row r="920" spans="1:7" x14ac:dyDescent="0.3">
      <c r="A920" s="326" t="s">
        <v>938</v>
      </c>
      <c r="B920" s="325">
        <v>8685</v>
      </c>
      <c r="C920" s="325">
        <v>0.1</v>
      </c>
      <c r="D920" s="325">
        <v>0.1</v>
      </c>
      <c r="E920" s="325" t="s">
        <v>743</v>
      </c>
      <c r="F920" s="325">
        <v>7.0000000000000007E-2</v>
      </c>
      <c r="G920" s="324">
        <v>0.03</v>
      </c>
    </row>
    <row r="921" spans="1:7" x14ac:dyDescent="0.3">
      <c r="A921" s="326" t="s">
        <v>937</v>
      </c>
      <c r="B921" s="325">
        <v>66687</v>
      </c>
      <c r="C921" s="325">
        <v>0.3</v>
      </c>
      <c r="D921" s="325">
        <v>0.3</v>
      </c>
      <c r="E921" s="325" t="s">
        <v>747</v>
      </c>
      <c r="F921" s="325">
        <v>0.2</v>
      </c>
      <c r="G921" s="324">
        <v>0.1</v>
      </c>
    </row>
    <row r="922" spans="1:7" x14ac:dyDescent="0.3">
      <c r="A922" s="326" t="s">
        <v>937</v>
      </c>
      <c r="B922" s="325">
        <v>5697</v>
      </c>
      <c r="C922" s="325">
        <v>0.15</v>
      </c>
      <c r="D922" s="325">
        <v>0.2</v>
      </c>
      <c r="E922" s="325" t="s">
        <v>719</v>
      </c>
      <c r="F922" s="325">
        <v>0.11</v>
      </c>
      <c r="G922" s="324">
        <v>0.06</v>
      </c>
    </row>
    <row r="923" spans="1:7" x14ac:dyDescent="0.3">
      <c r="A923" s="326" t="s">
        <v>936</v>
      </c>
      <c r="B923" s="325">
        <v>52720</v>
      </c>
      <c r="C923" s="325">
        <v>0.25</v>
      </c>
      <c r="D923" s="325">
        <v>0.25</v>
      </c>
      <c r="E923" s="325" t="s">
        <v>747</v>
      </c>
      <c r="F923" s="325">
        <v>0.16</v>
      </c>
      <c r="G923" s="324">
        <v>0.08</v>
      </c>
    </row>
    <row r="924" spans="1:7" x14ac:dyDescent="0.3">
      <c r="A924" s="326" t="s">
        <v>935</v>
      </c>
      <c r="B924" s="325">
        <v>81736</v>
      </c>
      <c r="C924" s="325">
        <v>0.3</v>
      </c>
      <c r="D924" s="325">
        <v>0.25</v>
      </c>
      <c r="E924" s="325" t="s">
        <v>747</v>
      </c>
      <c r="F924" s="325">
        <v>0.21</v>
      </c>
      <c r="G924" s="324">
        <v>0.08</v>
      </c>
    </row>
    <row r="925" spans="1:7" x14ac:dyDescent="0.3">
      <c r="A925" s="326" t="s">
        <v>934</v>
      </c>
      <c r="B925" s="325">
        <v>54720</v>
      </c>
      <c r="C925" s="325">
        <v>0.3</v>
      </c>
      <c r="D925" s="325">
        <v>0.25</v>
      </c>
      <c r="E925" s="325" t="s">
        <v>747</v>
      </c>
      <c r="F925" s="325">
        <v>0.15</v>
      </c>
      <c r="G925" s="324">
        <v>0.06</v>
      </c>
    </row>
    <row r="926" spans="1:7" x14ac:dyDescent="0.3">
      <c r="A926" s="326" t="s">
        <v>933</v>
      </c>
      <c r="B926" s="325">
        <v>25718</v>
      </c>
      <c r="C926" s="325">
        <v>0.15</v>
      </c>
      <c r="D926" s="325">
        <v>0.2</v>
      </c>
      <c r="E926" s="325" t="s">
        <v>719</v>
      </c>
      <c r="F926" s="325">
        <v>0.16</v>
      </c>
      <c r="G926" s="324">
        <v>0.06</v>
      </c>
    </row>
    <row r="927" spans="1:7" x14ac:dyDescent="0.3">
      <c r="A927" s="326" t="s">
        <v>932</v>
      </c>
      <c r="B927" s="325">
        <v>15720</v>
      </c>
      <c r="C927" s="325">
        <v>0.25</v>
      </c>
      <c r="D927" s="325">
        <v>0.25</v>
      </c>
      <c r="E927" s="325" t="s">
        <v>747</v>
      </c>
      <c r="F927" s="325">
        <v>0.16</v>
      </c>
      <c r="G927" s="324">
        <v>0.08</v>
      </c>
    </row>
    <row r="928" spans="1:7" x14ac:dyDescent="0.3">
      <c r="A928" s="326" t="s">
        <v>931</v>
      </c>
      <c r="B928" s="325">
        <v>15723</v>
      </c>
      <c r="C928" s="325">
        <v>0.25</v>
      </c>
      <c r="D928" s="325">
        <v>0.25</v>
      </c>
      <c r="E928" s="325" t="s">
        <v>747</v>
      </c>
      <c r="F928" s="325">
        <v>0.16</v>
      </c>
      <c r="G928" s="324">
        <v>0.08</v>
      </c>
    </row>
    <row r="929" spans="1:7" x14ac:dyDescent="0.3">
      <c r="A929" s="326" t="s">
        <v>930</v>
      </c>
      <c r="B929" s="325">
        <v>5736</v>
      </c>
      <c r="C929" s="325">
        <v>0.15</v>
      </c>
      <c r="D929" s="325">
        <v>0.2</v>
      </c>
      <c r="E929" s="325" t="s">
        <v>719</v>
      </c>
      <c r="F929" s="325">
        <v>0.1</v>
      </c>
      <c r="G929" s="324">
        <v>0.05</v>
      </c>
    </row>
    <row r="930" spans="1:7" x14ac:dyDescent="0.3">
      <c r="A930" s="326" t="s">
        <v>929</v>
      </c>
      <c r="B930" s="325">
        <v>25736</v>
      </c>
      <c r="C930" s="325">
        <v>0.15</v>
      </c>
      <c r="D930" s="325">
        <v>0.2</v>
      </c>
      <c r="E930" s="325" t="s">
        <v>719</v>
      </c>
      <c r="F930" s="325">
        <v>0.1</v>
      </c>
      <c r="G930" s="324">
        <v>0.05</v>
      </c>
    </row>
    <row r="931" spans="1:7" x14ac:dyDescent="0.3">
      <c r="A931" s="326" t="s">
        <v>928</v>
      </c>
      <c r="B931" s="325">
        <v>76736</v>
      </c>
      <c r="C931" s="325">
        <v>0.25</v>
      </c>
      <c r="D931" s="325">
        <v>0.2</v>
      </c>
      <c r="E931" s="325" t="s">
        <v>747</v>
      </c>
      <c r="F931" s="325">
        <v>0.13</v>
      </c>
      <c r="G931" s="324">
        <v>0.08</v>
      </c>
    </row>
    <row r="932" spans="1:7" x14ac:dyDescent="0.3">
      <c r="A932" s="326" t="s">
        <v>927</v>
      </c>
      <c r="B932" s="325">
        <v>15740</v>
      </c>
      <c r="C932" s="325">
        <v>0.2</v>
      </c>
      <c r="D932" s="325">
        <v>0.25</v>
      </c>
      <c r="E932" s="325" t="s">
        <v>747</v>
      </c>
      <c r="F932" s="325">
        <v>0.16</v>
      </c>
      <c r="G932" s="324">
        <v>0.08</v>
      </c>
    </row>
    <row r="933" spans="1:7" x14ac:dyDescent="0.3">
      <c r="A933" s="326" t="s">
        <v>926</v>
      </c>
      <c r="B933" s="325">
        <v>25740</v>
      </c>
      <c r="C933" s="325">
        <v>0.15</v>
      </c>
      <c r="D933" s="325">
        <v>0.2</v>
      </c>
      <c r="E933" s="325" t="s">
        <v>719</v>
      </c>
      <c r="F933" s="325">
        <v>0.09</v>
      </c>
      <c r="G933" s="324">
        <v>0.05</v>
      </c>
    </row>
    <row r="934" spans="1:7" x14ac:dyDescent="0.3">
      <c r="A934" s="326" t="s">
        <v>925</v>
      </c>
      <c r="B934" s="325">
        <v>86749</v>
      </c>
      <c r="C934" s="325">
        <v>0.25</v>
      </c>
      <c r="D934" s="325">
        <v>0.25</v>
      </c>
      <c r="E934" s="325" t="s">
        <v>747</v>
      </c>
      <c r="F934" s="325">
        <v>0.14000000000000001</v>
      </c>
      <c r="G934" s="324">
        <v>0.08</v>
      </c>
    </row>
    <row r="935" spans="1:7" x14ac:dyDescent="0.3">
      <c r="A935" s="326" t="s">
        <v>924</v>
      </c>
      <c r="B935" s="325">
        <v>54743</v>
      </c>
      <c r="C935" s="325">
        <v>0.25</v>
      </c>
      <c r="D935" s="325">
        <v>0.25</v>
      </c>
      <c r="E935" s="325" t="s">
        <v>747</v>
      </c>
      <c r="F935" s="325">
        <v>7.0000000000000007E-2</v>
      </c>
      <c r="G935" s="324">
        <v>0.03</v>
      </c>
    </row>
    <row r="936" spans="1:7" x14ac:dyDescent="0.3">
      <c r="A936" s="326" t="s">
        <v>923</v>
      </c>
      <c r="B936" s="325">
        <v>25743</v>
      </c>
      <c r="C936" s="325">
        <v>0.2</v>
      </c>
      <c r="D936" s="325">
        <v>0.2</v>
      </c>
      <c r="E936" s="325" t="s">
        <v>719</v>
      </c>
      <c r="F936" s="325">
        <v>0.09</v>
      </c>
      <c r="G936" s="324">
        <v>0.05</v>
      </c>
    </row>
    <row r="937" spans="1:7" x14ac:dyDescent="0.3">
      <c r="A937" s="326" t="s">
        <v>922</v>
      </c>
      <c r="B937" s="325">
        <v>19743</v>
      </c>
      <c r="C937" s="325">
        <v>0.25</v>
      </c>
      <c r="D937" s="325">
        <v>0.2</v>
      </c>
      <c r="E937" s="325" t="s">
        <v>747</v>
      </c>
      <c r="F937" s="325">
        <v>0.1</v>
      </c>
      <c r="G937" s="324">
        <v>0.05</v>
      </c>
    </row>
    <row r="938" spans="1:7" x14ac:dyDescent="0.3">
      <c r="A938" s="326" t="s">
        <v>921</v>
      </c>
      <c r="B938" s="325">
        <v>68745</v>
      </c>
      <c r="C938" s="325">
        <v>0.15</v>
      </c>
      <c r="D938" s="325">
        <v>0.15</v>
      </c>
      <c r="E938" s="325" t="s">
        <v>719</v>
      </c>
      <c r="F938" s="325">
        <v>0.09</v>
      </c>
      <c r="G938" s="324">
        <v>0.06</v>
      </c>
    </row>
    <row r="939" spans="1:7" x14ac:dyDescent="0.3">
      <c r="A939" s="326" t="s">
        <v>920</v>
      </c>
      <c r="B939" s="325">
        <v>25745</v>
      </c>
      <c r="C939" s="325">
        <v>0.15</v>
      </c>
      <c r="D939" s="325">
        <v>0.15</v>
      </c>
      <c r="E939" s="325" t="s">
        <v>719</v>
      </c>
      <c r="F939" s="325">
        <v>0.09</v>
      </c>
      <c r="G939" s="324">
        <v>0.05</v>
      </c>
    </row>
    <row r="940" spans="1:7" x14ac:dyDescent="0.3">
      <c r="A940" s="326" t="s">
        <v>919</v>
      </c>
      <c r="B940" s="325">
        <v>13744</v>
      </c>
      <c r="C940" s="325">
        <v>0.15</v>
      </c>
      <c r="D940" s="325">
        <v>0.15</v>
      </c>
      <c r="E940" s="325" t="s">
        <v>719</v>
      </c>
      <c r="F940" s="325">
        <v>0.08</v>
      </c>
      <c r="G940" s="324">
        <v>0.04</v>
      </c>
    </row>
    <row r="941" spans="1:7" x14ac:dyDescent="0.3">
      <c r="A941" s="326" t="s">
        <v>918</v>
      </c>
      <c r="B941" s="325">
        <v>70742</v>
      </c>
      <c r="C941" s="325">
        <v>0.1</v>
      </c>
      <c r="D941" s="325">
        <v>0.15</v>
      </c>
      <c r="E941" s="325" t="s">
        <v>719</v>
      </c>
      <c r="F941" s="325">
        <v>0.04</v>
      </c>
      <c r="G941" s="324">
        <v>0.03</v>
      </c>
    </row>
    <row r="942" spans="1:7" x14ac:dyDescent="0.3">
      <c r="A942" s="326" t="s">
        <v>917</v>
      </c>
      <c r="B942" s="325">
        <v>70001</v>
      </c>
      <c r="C942" s="325">
        <v>0.1</v>
      </c>
      <c r="D942" s="325">
        <v>0.15</v>
      </c>
      <c r="E942" s="325" t="s">
        <v>719</v>
      </c>
      <c r="F942" s="325">
        <v>7.0000000000000007E-2</v>
      </c>
      <c r="G942" s="324">
        <v>0.04</v>
      </c>
    </row>
    <row r="943" spans="1:7" x14ac:dyDescent="0.3">
      <c r="A943" s="326" t="s">
        <v>916</v>
      </c>
      <c r="B943" s="325">
        <v>27745</v>
      </c>
      <c r="C943" s="325">
        <v>0.35</v>
      </c>
      <c r="D943" s="325">
        <v>0.35</v>
      </c>
      <c r="E943" s="325" t="s">
        <v>747</v>
      </c>
      <c r="F943" s="325">
        <v>0.24</v>
      </c>
      <c r="G943" s="324">
        <v>0.1</v>
      </c>
    </row>
    <row r="944" spans="1:7" x14ac:dyDescent="0.3">
      <c r="A944" s="326" t="s">
        <v>915</v>
      </c>
      <c r="B944" s="325">
        <v>47745</v>
      </c>
      <c r="C944" s="325">
        <v>0.1</v>
      </c>
      <c r="D944" s="325">
        <v>0.1</v>
      </c>
      <c r="E944" s="325" t="s">
        <v>743</v>
      </c>
      <c r="F944" s="325">
        <v>0.05</v>
      </c>
      <c r="G944" s="324">
        <v>0.02</v>
      </c>
    </row>
    <row r="945" spans="1:7" x14ac:dyDescent="0.3">
      <c r="A945" s="326" t="s">
        <v>914</v>
      </c>
      <c r="B945" s="325">
        <v>25754</v>
      </c>
      <c r="C945" s="325">
        <v>0.15</v>
      </c>
      <c r="D945" s="325">
        <v>0.2</v>
      </c>
      <c r="E945" s="325" t="s">
        <v>719</v>
      </c>
      <c r="F945" s="325">
        <v>0.09</v>
      </c>
      <c r="G945" s="324">
        <v>0.05</v>
      </c>
    </row>
    <row r="946" spans="1:7" x14ac:dyDescent="0.3">
      <c r="A946" s="326" t="s">
        <v>913</v>
      </c>
      <c r="B946" s="325">
        <v>15753</v>
      </c>
      <c r="C946" s="325">
        <v>0.25</v>
      </c>
      <c r="D946" s="325">
        <v>0.25</v>
      </c>
      <c r="E946" s="325" t="s">
        <v>747</v>
      </c>
      <c r="F946" s="325">
        <v>0.16</v>
      </c>
      <c r="G946" s="324">
        <v>7.0000000000000007E-2</v>
      </c>
    </row>
    <row r="947" spans="1:7" x14ac:dyDescent="0.3">
      <c r="A947" s="326" t="s">
        <v>912</v>
      </c>
      <c r="B947" s="325">
        <v>15757</v>
      </c>
      <c r="C947" s="325">
        <v>0.25</v>
      </c>
      <c r="D947" s="325">
        <v>0.25</v>
      </c>
      <c r="E947" s="325" t="s">
        <v>747</v>
      </c>
      <c r="F947" s="325">
        <v>0.16</v>
      </c>
      <c r="G947" s="324">
        <v>0.08</v>
      </c>
    </row>
    <row r="948" spans="1:7" x14ac:dyDescent="0.3">
      <c r="A948" s="326" t="s">
        <v>911</v>
      </c>
      <c r="B948" s="325">
        <v>68755</v>
      </c>
      <c r="C948" s="325">
        <v>0.2</v>
      </c>
      <c r="D948" s="325">
        <v>0.2</v>
      </c>
      <c r="E948" s="325" t="s">
        <v>719</v>
      </c>
      <c r="F948" s="325">
        <v>0.11</v>
      </c>
      <c r="G948" s="324">
        <v>7.0000000000000007E-2</v>
      </c>
    </row>
    <row r="949" spans="1:7" x14ac:dyDescent="0.3">
      <c r="A949" s="326" t="s">
        <v>910</v>
      </c>
      <c r="B949" s="325">
        <v>15755</v>
      </c>
      <c r="C949" s="325">
        <v>0.25</v>
      </c>
      <c r="D949" s="325">
        <v>0.3</v>
      </c>
      <c r="E949" s="325" t="s">
        <v>747</v>
      </c>
      <c r="F949" s="325">
        <v>0.16</v>
      </c>
      <c r="G949" s="324">
        <v>0.08</v>
      </c>
    </row>
    <row r="950" spans="1:7" x14ac:dyDescent="0.3">
      <c r="A950" s="326" t="s">
        <v>909</v>
      </c>
      <c r="B950" s="325">
        <v>15759</v>
      </c>
      <c r="C950" s="325">
        <v>0.25</v>
      </c>
      <c r="D950" s="325">
        <v>0.25</v>
      </c>
      <c r="E950" s="325" t="s">
        <v>747</v>
      </c>
      <c r="F950" s="325">
        <v>0.16</v>
      </c>
      <c r="G950" s="324">
        <v>0.08</v>
      </c>
    </row>
    <row r="951" spans="1:7" x14ac:dyDescent="0.3">
      <c r="A951" s="326" t="s">
        <v>908</v>
      </c>
      <c r="B951" s="325">
        <v>18756</v>
      </c>
      <c r="C951" s="325">
        <v>0.05</v>
      </c>
      <c r="D951" s="325">
        <v>0.05</v>
      </c>
      <c r="E951" s="325" t="s">
        <v>743</v>
      </c>
      <c r="F951" s="325">
        <v>0.04</v>
      </c>
      <c r="G951" s="324">
        <v>0.02</v>
      </c>
    </row>
    <row r="952" spans="1:7" x14ac:dyDescent="0.3">
      <c r="A952" s="326" t="s">
        <v>907</v>
      </c>
      <c r="B952" s="325">
        <v>8758</v>
      </c>
      <c r="C952" s="325">
        <v>0.1</v>
      </c>
      <c r="D952" s="325">
        <v>0.1</v>
      </c>
      <c r="E952" s="325" t="s">
        <v>743</v>
      </c>
      <c r="F952" s="325">
        <v>0.06</v>
      </c>
      <c r="G952" s="324">
        <v>0.03</v>
      </c>
    </row>
    <row r="953" spans="1:7" x14ac:dyDescent="0.3">
      <c r="A953" s="326" t="s">
        <v>906</v>
      </c>
      <c r="B953" s="325">
        <v>18785</v>
      </c>
      <c r="C953" s="325">
        <v>0.05</v>
      </c>
      <c r="D953" s="325">
        <v>0.15</v>
      </c>
      <c r="E953" s="325" t="s">
        <v>719</v>
      </c>
      <c r="F953" s="325">
        <v>0.04</v>
      </c>
      <c r="G953" s="324">
        <v>0.02</v>
      </c>
    </row>
    <row r="954" spans="1:7" x14ac:dyDescent="0.3">
      <c r="A954" s="326" t="s">
        <v>905</v>
      </c>
      <c r="B954" s="325">
        <v>15761</v>
      </c>
      <c r="C954" s="325">
        <v>0.25</v>
      </c>
      <c r="D954" s="325">
        <v>0.25</v>
      </c>
      <c r="E954" s="325" t="s">
        <v>747</v>
      </c>
      <c r="F954" s="325">
        <v>0.16</v>
      </c>
      <c r="G954" s="324">
        <v>0.08</v>
      </c>
    </row>
    <row r="955" spans="1:7" x14ac:dyDescent="0.3">
      <c r="A955" s="326" t="s">
        <v>904</v>
      </c>
      <c r="B955" s="325">
        <v>5756</v>
      </c>
      <c r="C955" s="325">
        <v>0.15</v>
      </c>
      <c r="D955" s="325">
        <v>0.2</v>
      </c>
      <c r="E955" s="325" t="s">
        <v>719</v>
      </c>
      <c r="F955" s="325">
        <v>0.12</v>
      </c>
      <c r="G955" s="324">
        <v>7.0000000000000007E-2</v>
      </c>
    </row>
    <row r="956" spans="1:7" x14ac:dyDescent="0.3">
      <c r="A956" s="326" t="s">
        <v>903</v>
      </c>
      <c r="B956" s="325">
        <v>5761</v>
      </c>
      <c r="C956" s="325">
        <v>0.15</v>
      </c>
      <c r="D956" s="325">
        <v>0.2</v>
      </c>
      <c r="E956" s="325" t="s">
        <v>719</v>
      </c>
      <c r="F956" s="325">
        <v>0.15</v>
      </c>
      <c r="G956" s="324">
        <v>0.08</v>
      </c>
    </row>
    <row r="957" spans="1:7" x14ac:dyDescent="0.3">
      <c r="A957" s="326" t="s">
        <v>902</v>
      </c>
      <c r="B957" s="325">
        <v>13760</v>
      </c>
      <c r="C957" s="325">
        <v>0.1</v>
      </c>
      <c r="D957" s="325">
        <v>0.1</v>
      </c>
      <c r="E957" s="325" t="s">
        <v>743</v>
      </c>
      <c r="F957" s="325">
        <v>0.08</v>
      </c>
      <c r="G957" s="324">
        <v>0.04</v>
      </c>
    </row>
    <row r="958" spans="1:7" x14ac:dyDescent="0.3">
      <c r="A958" s="326" t="s">
        <v>901</v>
      </c>
      <c r="B958" s="325">
        <v>25758</v>
      </c>
      <c r="C958" s="325">
        <v>0.15</v>
      </c>
      <c r="D958" s="325">
        <v>0.2</v>
      </c>
      <c r="E958" s="325" t="s">
        <v>719</v>
      </c>
      <c r="F958" s="325">
        <v>0.09</v>
      </c>
      <c r="G958" s="324">
        <v>0.05</v>
      </c>
    </row>
    <row r="959" spans="1:7" x14ac:dyDescent="0.3">
      <c r="A959" s="326" t="s">
        <v>900</v>
      </c>
      <c r="B959" s="325">
        <v>15762</v>
      </c>
      <c r="C959" s="325">
        <v>0.2</v>
      </c>
      <c r="D959" s="325">
        <v>0.2</v>
      </c>
      <c r="E959" s="325" t="s">
        <v>719</v>
      </c>
      <c r="F959" s="325">
        <v>0.1</v>
      </c>
      <c r="G959" s="324">
        <v>0.05</v>
      </c>
    </row>
    <row r="960" spans="1:7" x14ac:dyDescent="0.3">
      <c r="A960" s="326" t="s">
        <v>899</v>
      </c>
      <c r="B960" s="325">
        <v>15764</v>
      </c>
      <c r="C960" s="325">
        <v>0.2</v>
      </c>
      <c r="D960" s="325">
        <v>0.25</v>
      </c>
      <c r="E960" s="325" t="s">
        <v>747</v>
      </c>
      <c r="F960" s="325">
        <v>0.14000000000000001</v>
      </c>
      <c r="G960" s="324">
        <v>7.0000000000000007E-2</v>
      </c>
    </row>
    <row r="961" spans="1:7" x14ac:dyDescent="0.3">
      <c r="A961" s="326" t="s">
        <v>898</v>
      </c>
      <c r="B961" s="325">
        <v>15763</v>
      </c>
      <c r="C961" s="325">
        <v>0.2</v>
      </c>
      <c r="D961" s="325">
        <v>0.2</v>
      </c>
      <c r="E961" s="325" t="s">
        <v>719</v>
      </c>
      <c r="F961" s="325">
        <v>0.11</v>
      </c>
      <c r="G961" s="324">
        <v>0.06</v>
      </c>
    </row>
    <row r="962" spans="1:7" x14ac:dyDescent="0.3">
      <c r="A962" s="326" t="s">
        <v>897</v>
      </c>
      <c r="B962" s="325">
        <v>19760</v>
      </c>
      <c r="C962" s="325">
        <v>0.25</v>
      </c>
      <c r="D962" s="325">
        <v>0.2</v>
      </c>
      <c r="E962" s="325" t="s">
        <v>747</v>
      </c>
      <c r="F962" s="325">
        <v>0.13</v>
      </c>
      <c r="G962" s="324">
        <v>7.0000000000000007E-2</v>
      </c>
    </row>
    <row r="963" spans="1:7" x14ac:dyDescent="0.3">
      <c r="A963" s="326" t="s">
        <v>896</v>
      </c>
      <c r="B963" s="325">
        <v>68770</v>
      </c>
      <c r="C963" s="325">
        <v>0.15</v>
      </c>
      <c r="D963" s="325">
        <v>0.2</v>
      </c>
      <c r="E963" s="325" t="s">
        <v>719</v>
      </c>
      <c r="F963" s="325">
        <v>0.09</v>
      </c>
      <c r="G963" s="324">
        <v>0.06</v>
      </c>
    </row>
    <row r="964" spans="1:7" x14ac:dyDescent="0.3">
      <c r="A964" s="326" t="s">
        <v>895</v>
      </c>
      <c r="B964" s="325">
        <v>8770</v>
      </c>
      <c r="C964" s="325">
        <v>0.1</v>
      </c>
      <c r="D964" s="325">
        <v>0.1</v>
      </c>
      <c r="E964" s="325" t="s">
        <v>743</v>
      </c>
      <c r="F964" s="325">
        <v>0.08</v>
      </c>
      <c r="G964" s="324">
        <v>0.03</v>
      </c>
    </row>
    <row r="965" spans="1:7" x14ac:dyDescent="0.3">
      <c r="A965" s="326" t="s">
        <v>894</v>
      </c>
      <c r="B965" s="325">
        <v>19780</v>
      </c>
      <c r="C965" s="325">
        <v>0.25</v>
      </c>
      <c r="D965" s="325">
        <v>0.2</v>
      </c>
      <c r="E965" s="325" t="s">
        <v>747</v>
      </c>
      <c r="F965" s="325">
        <v>0.16</v>
      </c>
      <c r="G965" s="324">
        <v>0.08</v>
      </c>
    </row>
    <row r="966" spans="1:7" x14ac:dyDescent="0.3">
      <c r="A966" s="326" t="s">
        <v>894</v>
      </c>
      <c r="B966" s="325">
        <v>73770</v>
      </c>
      <c r="C966" s="325">
        <v>0.25</v>
      </c>
      <c r="D966" s="325">
        <v>0.2</v>
      </c>
      <c r="E966" s="325" t="s">
        <v>747</v>
      </c>
      <c r="F966" s="325">
        <v>0.13</v>
      </c>
      <c r="G966" s="324">
        <v>0.06</v>
      </c>
    </row>
    <row r="967" spans="1:7" x14ac:dyDescent="0.3">
      <c r="A967" s="326" t="s">
        <v>893</v>
      </c>
      <c r="B967" s="325">
        <v>41770</v>
      </c>
      <c r="C967" s="325">
        <v>0.3</v>
      </c>
      <c r="D967" s="325">
        <v>0.15</v>
      </c>
      <c r="E967" s="325" t="s">
        <v>747</v>
      </c>
      <c r="F967" s="325">
        <v>0.16</v>
      </c>
      <c r="G967" s="324">
        <v>0.06</v>
      </c>
    </row>
    <row r="968" spans="1:7" x14ac:dyDescent="0.3">
      <c r="A968" s="326" t="s">
        <v>892</v>
      </c>
      <c r="B968" s="325">
        <v>25769</v>
      </c>
      <c r="C968" s="325">
        <v>0.15</v>
      </c>
      <c r="D968" s="325">
        <v>0.2</v>
      </c>
      <c r="E968" s="325" t="s">
        <v>719</v>
      </c>
      <c r="F968" s="325">
        <v>0.1</v>
      </c>
      <c r="G968" s="324">
        <v>0.06</v>
      </c>
    </row>
    <row r="969" spans="1:7" x14ac:dyDescent="0.3">
      <c r="A969" s="326" t="s">
        <v>891</v>
      </c>
      <c r="B969" s="325">
        <v>19785</v>
      </c>
      <c r="C969" s="325">
        <v>0.25</v>
      </c>
      <c r="D969" s="325">
        <v>0.25</v>
      </c>
      <c r="E969" s="325" t="s">
        <v>747</v>
      </c>
      <c r="F969" s="325">
        <v>0.14000000000000001</v>
      </c>
      <c r="G969" s="324">
        <v>0.08</v>
      </c>
    </row>
    <row r="970" spans="1:7" x14ac:dyDescent="0.3">
      <c r="A970" s="326" t="s">
        <v>891</v>
      </c>
      <c r="B970" s="325">
        <v>68773</v>
      </c>
      <c r="C970" s="325">
        <v>0.15</v>
      </c>
      <c r="D970" s="325">
        <v>0.15</v>
      </c>
      <c r="E970" s="325" t="s">
        <v>719</v>
      </c>
      <c r="F970" s="325">
        <v>0.15</v>
      </c>
      <c r="G970" s="324">
        <v>7.0000000000000007E-2</v>
      </c>
    </row>
    <row r="971" spans="1:7" x14ac:dyDescent="0.3">
      <c r="A971" s="326" t="s">
        <v>891</v>
      </c>
      <c r="B971" s="325">
        <v>70771</v>
      </c>
      <c r="C971" s="325">
        <v>0.1</v>
      </c>
      <c r="D971" s="325">
        <v>0.15</v>
      </c>
      <c r="E971" s="325" t="s">
        <v>719</v>
      </c>
      <c r="F971" s="325">
        <v>0.04</v>
      </c>
      <c r="G971" s="324">
        <v>0.03</v>
      </c>
    </row>
    <row r="972" spans="1:7" x14ac:dyDescent="0.3">
      <c r="A972" s="326" t="s">
        <v>890</v>
      </c>
      <c r="B972" s="325">
        <v>25772</v>
      </c>
      <c r="C972" s="325">
        <v>0.15</v>
      </c>
      <c r="D972" s="325">
        <v>0.2</v>
      </c>
      <c r="E972" s="325" t="s">
        <v>719</v>
      </c>
      <c r="F972" s="325">
        <v>0.09</v>
      </c>
      <c r="G972" s="324">
        <v>0.05</v>
      </c>
    </row>
    <row r="973" spans="1:7" x14ac:dyDescent="0.3">
      <c r="A973" s="326" t="s">
        <v>889</v>
      </c>
      <c r="B973" s="325">
        <v>25777</v>
      </c>
      <c r="C973" s="325">
        <v>0.15</v>
      </c>
      <c r="D973" s="325">
        <v>0.2</v>
      </c>
      <c r="E973" s="325" t="s">
        <v>719</v>
      </c>
      <c r="F973" s="325">
        <v>0.11</v>
      </c>
      <c r="G973" s="324">
        <v>0.06</v>
      </c>
    </row>
    <row r="974" spans="1:7" x14ac:dyDescent="0.3">
      <c r="A974" s="326" t="s">
        <v>888</v>
      </c>
      <c r="B974" s="325">
        <v>17777</v>
      </c>
      <c r="C974" s="325">
        <v>0.25</v>
      </c>
      <c r="D974" s="325">
        <v>0.3</v>
      </c>
      <c r="E974" s="325" t="s">
        <v>747</v>
      </c>
      <c r="F974" s="325">
        <v>0.2</v>
      </c>
      <c r="G974" s="324">
        <v>0.1</v>
      </c>
    </row>
    <row r="975" spans="1:7" x14ac:dyDescent="0.3">
      <c r="A975" s="326" t="s">
        <v>887</v>
      </c>
      <c r="B975" s="325">
        <v>68780</v>
      </c>
      <c r="C975" s="325">
        <v>0.25</v>
      </c>
      <c r="D975" s="325">
        <v>0.25</v>
      </c>
      <c r="E975" s="325" t="s">
        <v>747</v>
      </c>
      <c r="F975" s="325">
        <v>0.09</v>
      </c>
      <c r="G975" s="324">
        <v>0.05</v>
      </c>
    </row>
    <row r="976" spans="1:7" x14ac:dyDescent="0.3">
      <c r="A976" s="326" t="s">
        <v>886</v>
      </c>
      <c r="B976" s="325">
        <v>25779</v>
      </c>
      <c r="C976" s="325">
        <v>0.15</v>
      </c>
      <c r="D976" s="325">
        <v>0.2</v>
      </c>
      <c r="E976" s="325" t="s">
        <v>719</v>
      </c>
      <c r="F976" s="325">
        <v>0.09</v>
      </c>
      <c r="G976" s="324">
        <v>0.05</v>
      </c>
    </row>
    <row r="977" spans="1:7" x14ac:dyDescent="0.3">
      <c r="A977" s="326" t="s">
        <v>885</v>
      </c>
      <c r="B977" s="325">
        <v>15774</v>
      </c>
      <c r="C977" s="325">
        <v>0.25</v>
      </c>
      <c r="D977" s="325">
        <v>0.25</v>
      </c>
      <c r="E977" s="325" t="s">
        <v>747</v>
      </c>
      <c r="F977" s="325">
        <v>0.16</v>
      </c>
      <c r="G977" s="324">
        <v>0.08</v>
      </c>
    </row>
    <row r="978" spans="1:7" x14ac:dyDescent="0.3">
      <c r="A978" s="326" t="s">
        <v>884</v>
      </c>
      <c r="B978" s="325">
        <v>15776</v>
      </c>
      <c r="C978" s="325">
        <v>0.15</v>
      </c>
      <c r="D978" s="325">
        <v>0.2</v>
      </c>
      <c r="E978" s="325" t="s">
        <v>719</v>
      </c>
      <c r="F978" s="325">
        <v>0.09</v>
      </c>
      <c r="G978" s="324">
        <v>0.05</v>
      </c>
    </row>
    <row r="979" spans="1:7" x14ac:dyDescent="0.3">
      <c r="A979" s="326" t="s">
        <v>883</v>
      </c>
      <c r="B979" s="325">
        <v>25781</v>
      </c>
      <c r="C979" s="325">
        <v>0.15</v>
      </c>
      <c r="D979" s="325">
        <v>0.2</v>
      </c>
      <c r="E979" s="325" t="s">
        <v>719</v>
      </c>
      <c r="F979" s="325">
        <v>0.08</v>
      </c>
      <c r="G979" s="324">
        <v>0.05</v>
      </c>
    </row>
    <row r="980" spans="1:7" x14ac:dyDescent="0.3">
      <c r="A980" s="326" t="s">
        <v>882</v>
      </c>
      <c r="B980" s="325">
        <v>15778</v>
      </c>
      <c r="C980" s="325">
        <v>0.25</v>
      </c>
      <c r="D980" s="325">
        <v>0.25</v>
      </c>
      <c r="E980" s="325" t="s">
        <v>747</v>
      </c>
      <c r="F980" s="325">
        <v>0.16</v>
      </c>
      <c r="G980" s="324">
        <v>0.08</v>
      </c>
    </row>
    <row r="981" spans="1:7" x14ac:dyDescent="0.3">
      <c r="A981" s="326" t="s">
        <v>881</v>
      </c>
      <c r="B981" s="325">
        <v>25785</v>
      </c>
      <c r="C981" s="325">
        <v>0.15</v>
      </c>
      <c r="D981" s="325">
        <v>0.2</v>
      </c>
      <c r="E981" s="325" t="s">
        <v>719</v>
      </c>
      <c r="F981" s="325">
        <v>0.09</v>
      </c>
      <c r="G981" s="324">
        <v>0.05</v>
      </c>
    </row>
    <row r="982" spans="1:7" x14ac:dyDescent="0.3">
      <c r="A982" s="326" t="s">
        <v>880</v>
      </c>
      <c r="B982" s="325">
        <v>27787</v>
      </c>
      <c r="C982" s="325">
        <v>0.35</v>
      </c>
      <c r="D982" s="325">
        <v>0.35</v>
      </c>
      <c r="E982" s="325" t="s">
        <v>747</v>
      </c>
      <c r="F982" s="325">
        <v>0.24</v>
      </c>
      <c r="G982" s="324">
        <v>0.1</v>
      </c>
    </row>
    <row r="983" spans="1:7" x14ac:dyDescent="0.3">
      <c r="A983" s="326" t="s">
        <v>879</v>
      </c>
      <c r="B983" s="325">
        <v>13780</v>
      </c>
      <c r="C983" s="325">
        <v>0.1</v>
      </c>
      <c r="D983" s="325">
        <v>0.1</v>
      </c>
      <c r="E983" s="325" t="s">
        <v>743</v>
      </c>
      <c r="F983" s="325">
        <v>0.04</v>
      </c>
      <c r="G983" s="324">
        <v>0.03</v>
      </c>
    </row>
    <row r="984" spans="1:7" x14ac:dyDescent="0.3">
      <c r="A984" s="326" t="s">
        <v>878</v>
      </c>
      <c r="B984" s="325">
        <v>20787</v>
      </c>
      <c r="C984" s="325">
        <v>0.15</v>
      </c>
      <c r="D984" s="325">
        <v>0.1</v>
      </c>
      <c r="E984" s="325" t="s">
        <v>719</v>
      </c>
      <c r="F984" s="325">
        <v>0.08</v>
      </c>
      <c r="G984" s="324">
        <v>0.04</v>
      </c>
    </row>
    <row r="985" spans="1:7" x14ac:dyDescent="0.3">
      <c r="A985" s="326" t="s">
        <v>877</v>
      </c>
      <c r="B985" s="325">
        <v>85400</v>
      </c>
      <c r="C985" s="325">
        <v>0.35</v>
      </c>
      <c r="D985" s="325">
        <v>0.2</v>
      </c>
      <c r="E985" s="325" t="s">
        <v>747</v>
      </c>
      <c r="F985" s="325">
        <v>0.16</v>
      </c>
      <c r="G985" s="324">
        <v>0.08</v>
      </c>
    </row>
    <row r="986" spans="1:7" x14ac:dyDescent="0.3">
      <c r="A986" s="326" t="s">
        <v>876</v>
      </c>
      <c r="B986" s="325">
        <v>81794</v>
      </c>
      <c r="C986" s="325">
        <v>0.25</v>
      </c>
      <c r="D986" s="325">
        <v>0.2</v>
      </c>
      <c r="E986" s="325" t="s">
        <v>747</v>
      </c>
      <c r="F986" s="325">
        <v>0.31</v>
      </c>
      <c r="G986" s="324">
        <v>0.1</v>
      </c>
    </row>
    <row r="987" spans="1:7" x14ac:dyDescent="0.3">
      <c r="A987" s="326" t="s">
        <v>875</v>
      </c>
      <c r="B987" s="325">
        <v>5789</v>
      </c>
      <c r="C987" s="325">
        <v>0.25</v>
      </c>
      <c r="D987" s="325">
        <v>0.25</v>
      </c>
      <c r="E987" s="325" t="s">
        <v>747</v>
      </c>
      <c r="F987" s="325">
        <v>0.16</v>
      </c>
      <c r="G987" s="324">
        <v>0.09</v>
      </c>
    </row>
    <row r="988" spans="1:7" x14ac:dyDescent="0.3">
      <c r="A988" s="326" t="s">
        <v>874</v>
      </c>
      <c r="B988" s="325">
        <v>52786</v>
      </c>
      <c r="C988" s="325">
        <v>0.25</v>
      </c>
      <c r="D988" s="325">
        <v>0.25</v>
      </c>
      <c r="E988" s="325" t="s">
        <v>747</v>
      </c>
      <c r="F988" s="325">
        <v>0.15</v>
      </c>
      <c r="G988" s="324">
        <v>0.08</v>
      </c>
    </row>
    <row r="989" spans="1:7" x14ac:dyDescent="0.3">
      <c r="A989" s="326" t="s">
        <v>873</v>
      </c>
      <c r="B989" s="325">
        <v>52788</v>
      </c>
      <c r="C989" s="325">
        <v>0.25</v>
      </c>
      <c r="D989" s="325">
        <v>0.25</v>
      </c>
      <c r="E989" s="325" t="s">
        <v>747</v>
      </c>
      <c r="F989" s="325">
        <v>0.13</v>
      </c>
      <c r="G989" s="324">
        <v>0.08</v>
      </c>
    </row>
    <row r="990" spans="1:7" x14ac:dyDescent="0.3">
      <c r="A990" s="326" t="s">
        <v>872</v>
      </c>
      <c r="B990" s="325">
        <v>97666</v>
      </c>
      <c r="C990" s="325">
        <v>0.05</v>
      </c>
      <c r="D990" s="325">
        <v>0.05</v>
      </c>
      <c r="E990" s="325" t="s">
        <v>743</v>
      </c>
      <c r="F990" s="325">
        <v>0.04</v>
      </c>
      <c r="G990" s="324">
        <v>0.02</v>
      </c>
    </row>
    <row r="991" spans="1:7" x14ac:dyDescent="0.3">
      <c r="A991" s="326" t="s">
        <v>871</v>
      </c>
      <c r="B991" s="325">
        <v>91798</v>
      </c>
      <c r="C991" s="325">
        <v>0.05</v>
      </c>
      <c r="D991" s="325">
        <v>0.05</v>
      </c>
      <c r="E991" s="325" t="s">
        <v>743</v>
      </c>
      <c r="F991" s="325">
        <v>0.04</v>
      </c>
      <c r="G991" s="324">
        <v>0.02</v>
      </c>
    </row>
    <row r="992" spans="1:7" x14ac:dyDescent="0.3">
      <c r="A992" s="326" t="s">
        <v>870</v>
      </c>
      <c r="B992" s="325">
        <v>5790</v>
      </c>
      <c r="C992" s="325">
        <v>0.15</v>
      </c>
      <c r="D992" s="325">
        <v>0.2</v>
      </c>
      <c r="E992" s="325" t="s">
        <v>719</v>
      </c>
      <c r="F992" s="325">
        <v>0.08</v>
      </c>
      <c r="G992" s="324">
        <v>0.04</v>
      </c>
    </row>
    <row r="993" spans="1:7" x14ac:dyDescent="0.3">
      <c r="A993" s="326" t="s">
        <v>869</v>
      </c>
      <c r="B993" s="325">
        <v>41791</v>
      </c>
      <c r="C993" s="325">
        <v>0.3</v>
      </c>
      <c r="D993" s="325">
        <v>0.15</v>
      </c>
      <c r="E993" s="325" t="s">
        <v>747</v>
      </c>
      <c r="F993" s="325">
        <v>0.2</v>
      </c>
      <c r="G993" s="324">
        <v>0.08</v>
      </c>
    </row>
    <row r="994" spans="1:7" x14ac:dyDescent="0.3">
      <c r="A994" s="326" t="s">
        <v>868</v>
      </c>
      <c r="B994" s="325">
        <v>5792</v>
      </c>
      <c r="C994" s="325">
        <v>0.25</v>
      </c>
      <c r="D994" s="325">
        <v>0.25</v>
      </c>
      <c r="E994" s="325" t="s">
        <v>747</v>
      </c>
      <c r="F994" s="325">
        <v>0.16</v>
      </c>
      <c r="G994" s="324">
        <v>0.09</v>
      </c>
    </row>
    <row r="995" spans="1:7" x14ac:dyDescent="0.3">
      <c r="A995" s="326" t="s">
        <v>867</v>
      </c>
      <c r="B995" s="325">
        <v>15790</v>
      </c>
      <c r="C995" s="325">
        <v>0.25</v>
      </c>
      <c r="D995" s="325">
        <v>0.25</v>
      </c>
      <c r="E995" s="325" t="s">
        <v>747</v>
      </c>
      <c r="F995" s="325">
        <v>0.16</v>
      </c>
      <c r="G995" s="324">
        <v>0.08</v>
      </c>
    </row>
    <row r="996" spans="1:7" x14ac:dyDescent="0.3">
      <c r="A996" s="326" t="s">
        <v>866</v>
      </c>
      <c r="B996" s="325">
        <v>85410</v>
      </c>
      <c r="C996" s="325">
        <v>0.15</v>
      </c>
      <c r="D996" s="325">
        <v>0.2</v>
      </c>
      <c r="E996" s="325" t="s">
        <v>719</v>
      </c>
      <c r="F996" s="325">
        <v>0.06</v>
      </c>
      <c r="G996" s="324">
        <v>0.03</v>
      </c>
    </row>
    <row r="997" spans="1:7" x14ac:dyDescent="0.3">
      <c r="A997" s="326" t="s">
        <v>865</v>
      </c>
      <c r="B997" s="325">
        <v>25793</v>
      </c>
      <c r="C997" s="325">
        <v>0.15</v>
      </c>
      <c r="D997" s="325">
        <v>0.2</v>
      </c>
      <c r="E997" s="325" t="s">
        <v>719</v>
      </c>
      <c r="F997" s="325">
        <v>0.09</v>
      </c>
      <c r="G997" s="324">
        <v>0.05</v>
      </c>
    </row>
    <row r="998" spans="1:7" x14ac:dyDescent="0.3">
      <c r="A998" s="326" t="s">
        <v>864</v>
      </c>
      <c r="B998" s="325">
        <v>41799</v>
      </c>
      <c r="C998" s="325">
        <v>0.3</v>
      </c>
      <c r="D998" s="325">
        <v>0.25</v>
      </c>
      <c r="E998" s="325" t="s">
        <v>747</v>
      </c>
      <c r="F998" s="325">
        <v>0.19</v>
      </c>
      <c r="G998" s="324">
        <v>0.08</v>
      </c>
    </row>
    <row r="999" spans="1:7" x14ac:dyDescent="0.3">
      <c r="A999" s="326" t="s">
        <v>863</v>
      </c>
      <c r="B999" s="325">
        <v>25797</v>
      </c>
      <c r="C999" s="325">
        <v>0.15</v>
      </c>
      <c r="D999" s="325">
        <v>0.2</v>
      </c>
      <c r="E999" s="325" t="s">
        <v>719</v>
      </c>
      <c r="F999" s="325">
        <v>0.12</v>
      </c>
      <c r="G999" s="324">
        <v>0.06</v>
      </c>
    </row>
    <row r="1000" spans="1:7" x14ac:dyDescent="0.3">
      <c r="A1000" s="326" t="s">
        <v>862</v>
      </c>
      <c r="B1000" s="325">
        <v>47798</v>
      </c>
      <c r="C1000" s="325">
        <v>0.1</v>
      </c>
      <c r="D1000" s="325">
        <v>0.1</v>
      </c>
      <c r="E1000" s="325" t="s">
        <v>743</v>
      </c>
      <c r="F1000" s="325">
        <v>0.04</v>
      </c>
      <c r="G1000" s="324">
        <v>0.02</v>
      </c>
    </row>
    <row r="1001" spans="1:7" x14ac:dyDescent="0.3">
      <c r="A1001" s="326" t="s">
        <v>861</v>
      </c>
      <c r="B1001" s="325">
        <v>25799</v>
      </c>
      <c r="C1001" s="325">
        <v>0.15</v>
      </c>
      <c r="D1001" s="325">
        <v>0.2</v>
      </c>
      <c r="E1001" s="325" t="s">
        <v>719</v>
      </c>
      <c r="F1001" s="325">
        <v>0.09</v>
      </c>
      <c r="G1001" s="324">
        <v>0.05</v>
      </c>
    </row>
    <row r="1002" spans="1:7" x14ac:dyDescent="0.3">
      <c r="A1002" s="326" t="s">
        <v>860</v>
      </c>
      <c r="B1002" s="325">
        <v>15798</v>
      </c>
      <c r="C1002" s="325">
        <v>0.2</v>
      </c>
      <c r="D1002" s="325">
        <v>0.25</v>
      </c>
      <c r="E1002" s="325" t="s">
        <v>747</v>
      </c>
      <c r="F1002" s="325">
        <v>0.16</v>
      </c>
      <c r="G1002" s="324">
        <v>0.08</v>
      </c>
    </row>
    <row r="1003" spans="1:7" x14ac:dyDescent="0.3">
      <c r="A1003" s="326" t="s">
        <v>859</v>
      </c>
      <c r="B1003" s="325">
        <v>54800</v>
      </c>
      <c r="C1003" s="325">
        <v>0.2</v>
      </c>
      <c r="D1003" s="325">
        <v>0.15</v>
      </c>
      <c r="E1003" s="325" t="s">
        <v>719</v>
      </c>
      <c r="F1003" s="325">
        <v>0.04</v>
      </c>
      <c r="G1003" s="324">
        <v>0.02</v>
      </c>
    </row>
    <row r="1004" spans="1:7" x14ac:dyDescent="0.3">
      <c r="A1004" s="326" t="s">
        <v>858</v>
      </c>
      <c r="B1004" s="325">
        <v>41801</v>
      </c>
      <c r="C1004" s="325">
        <v>0.25</v>
      </c>
      <c r="D1004" s="325">
        <v>0.2</v>
      </c>
      <c r="E1004" s="325" t="s">
        <v>747</v>
      </c>
      <c r="F1004" s="325">
        <v>0.19</v>
      </c>
      <c r="G1004" s="324">
        <v>7.0000000000000007E-2</v>
      </c>
    </row>
    <row r="1005" spans="1:7" x14ac:dyDescent="0.3">
      <c r="A1005" s="326" t="s">
        <v>857</v>
      </c>
      <c r="B1005" s="325">
        <v>41797</v>
      </c>
      <c r="C1005" s="325">
        <v>0.25</v>
      </c>
      <c r="D1005" s="325">
        <v>0.2</v>
      </c>
      <c r="E1005" s="325" t="s">
        <v>747</v>
      </c>
      <c r="F1005" s="325">
        <v>0.19</v>
      </c>
      <c r="G1005" s="324">
        <v>7.0000000000000007E-2</v>
      </c>
    </row>
    <row r="1006" spans="1:7" x14ac:dyDescent="0.3">
      <c r="A1006" s="326" t="s">
        <v>856</v>
      </c>
      <c r="B1006" s="325">
        <v>25805</v>
      </c>
      <c r="C1006" s="325">
        <v>0.2</v>
      </c>
      <c r="D1006" s="325">
        <v>0.2</v>
      </c>
      <c r="E1006" s="325" t="s">
        <v>719</v>
      </c>
      <c r="F1006" s="325">
        <v>0.09</v>
      </c>
      <c r="G1006" s="324">
        <v>0.05</v>
      </c>
    </row>
    <row r="1007" spans="1:7" x14ac:dyDescent="0.3">
      <c r="A1007" s="326" t="s">
        <v>855</v>
      </c>
      <c r="B1007" s="325">
        <v>15804</v>
      </c>
      <c r="C1007" s="325">
        <v>0.2</v>
      </c>
      <c r="D1007" s="325">
        <v>0.25</v>
      </c>
      <c r="E1007" s="325" t="s">
        <v>747</v>
      </c>
      <c r="F1007" s="325">
        <v>0.16</v>
      </c>
      <c r="G1007" s="324">
        <v>7.0000000000000007E-2</v>
      </c>
    </row>
    <row r="1008" spans="1:7" x14ac:dyDescent="0.3">
      <c r="A1008" s="326" t="s">
        <v>854</v>
      </c>
      <c r="B1008" s="325">
        <v>15806</v>
      </c>
      <c r="C1008" s="325">
        <v>0.2</v>
      </c>
      <c r="D1008" s="325">
        <v>0.25</v>
      </c>
      <c r="E1008" s="325" t="s">
        <v>747</v>
      </c>
      <c r="F1008" s="325">
        <v>0.16</v>
      </c>
      <c r="G1008" s="324">
        <v>0.08</v>
      </c>
    </row>
    <row r="1009" spans="1:7" x14ac:dyDescent="0.3">
      <c r="A1009" s="326" t="s">
        <v>853</v>
      </c>
      <c r="B1009" s="325">
        <v>25807</v>
      </c>
      <c r="C1009" s="325">
        <v>0.2</v>
      </c>
      <c r="D1009" s="325">
        <v>0.25</v>
      </c>
      <c r="E1009" s="325" t="s">
        <v>747</v>
      </c>
      <c r="F1009" s="325">
        <v>0.15</v>
      </c>
      <c r="G1009" s="324">
        <v>0.06</v>
      </c>
    </row>
    <row r="1010" spans="1:7" x14ac:dyDescent="0.3">
      <c r="A1010" s="326" t="s">
        <v>852</v>
      </c>
      <c r="B1010" s="325">
        <v>54810</v>
      </c>
      <c r="C1010" s="325">
        <v>0.2</v>
      </c>
      <c r="D1010" s="325">
        <v>0.2</v>
      </c>
      <c r="E1010" s="325" t="s">
        <v>719</v>
      </c>
      <c r="F1010" s="325">
        <v>0.11</v>
      </c>
      <c r="G1010" s="324">
        <v>0.04</v>
      </c>
    </row>
    <row r="1011" spans="1:7" x14ac:dyDescent="0.3">
      <c r="A1011" s="326" t="s">
        <v>851</v>
      </c>
      <c r="B1011" s="325">
        <v>23807</v>
      </c>
      <c r="C1011" s="325">
        <v>0.2</v>
      </c>
      <c r="D1011" s="325">
        <v>0.2</v>
      </c>
      <c r="E1011" s="325" t="s">
        <v>719</v>
      </c>
      <c r="F1011" s="325">
        <v>0.08</v>
      </c>
      <c r="G1011" s="324">
        <v>0.04</v>
      </c>
    </row>
    <row r="1012" spans="1:7" x14ac:dyDescent="0.3">
      <c r="A1012" s="326" t="s">
        <v>850</v>
      </c>
      <c r="B1012" s="325">
        <v>41807</v>
      </c>
      <c r="C1012" s="325">
        <v>0.3</v>
      </c>
      <c r="D1012" s="325">
        <v>0.15</v>
      </c>
      <c r="E1012" s="325" t="s">
        <v>747</v>
      </c>
      <c r="F1012" s="325">
        <v>0.2</v>
      </c>
      <c r="G1012" s="324">
        <v>0.08</v>
      </c>
    </row>
    <row r="1013" spans="1:7" x14ac:dyDescent="0.3">
      <c r="A1013" s="326" t="s">
        <v>849</v>
      </c>
      <c r="B1013" s="325">
        <v>19807</v>
      </c>
      <c r="C1013" s="325">
        <v>0.25</v>
      </c>
      <c r="D1013" s="325">
        <v>0.2</v>
      </c>
      <c r="E1013" s="325" t="s">
        <v>747</v>
      </c>
      <c r="F1013" s="325">
        <v>0.16</v>
      </c>
      <c r="G1013" s="324">
        <v>0.08</v>
      </c>
    </row>
    <row r="1014" spans="1:7" x14ac:dyDescent="0.3">
      <c r="A1014" s="326" t="s">
        <v>848</v>
      </c>
      <c r="B1014" s="325">
        <v>19809</v>
      </c>
      <c r="C1014" s="325">
        <v>0.4</v>
      </c>
      <c r="D1014" s="325">
        <v>0.3</v>
      </c>
      <c r="E1014" s="325" t="s">
        <v>747</v>
      </c>
      <c r="F1014" s="325">
        <v>0.14000000000000001</v>
      </c>
      <c r="G1014" s="324">
        <v>0.08</v>
      </c>
    </row>
    <row r="1015" spans="1:7" x14ac:dyDescent="0.3">
      <c r="A1015" s="326" t="s">
        <v>847</v>
      </c>
      <c r="B1015" s="325">
        <v>15808</v>
      </c>
      <c r="C1015" s="325">
        <v>0.15</v>
      </c>
      <c r="D1015" s="325">
        <v>0.2</v>
      </c>
      <c r="E1015" s="325" t="s">
        <v>719</v>
      </c>
      <c r="F1015" s="325">
        <v>0.09</v>
      </c>
      <c r="G1015" s="324">
        <v>0.05</v>
      </c>
    </row>
    <row r="1016" spans="1:7" x14ac:dyDescent="0.3">
      <c r="A1016" s="326" t="s">
        <v>846</v>
      </c>
      <c r="B1016" s="325">
        <v>15810</v>
      </c>
      <c r="C1016" s="325">
        <v>0.25</v>
      </c>
      <c r="D1016" s="325">
        <v>0.25</v>
      </c>
      <c r="E1016" s="325" t="s">
        <v>747</v>
      </c>
      <c r="F1016" s="325">
        <v>0.15</v>
      </c>
      <c r="G1016" s="324">
        <v>7.0000000000000007E-2</v>
      </c>
    </row>
    <row r="1017" spans="1:7" x14ac:dyDescent="0.3">
      <c r="A1017" s="326" t="s">
        <v>845</v>
      </c>
      <c r="B1017" s="325">
        <v>13810</v>
      </c>
      <c r="C1017" s="325">
        <v>0.15</v>
      </c>
      <c r="D1017" s="325">
        <v>0.15</v>
      </c>
      <c r="E1017" s="325" t="s">
        <v>719</v>
      </c>
      <c r="F1017" s="325">
        <v>0.08</v>
      </c>
      <c r="G1017" s="324">
        <v>0.05</v>
      </c>
    </row>
    <row r="1018" spans="1:7" x14ac:dyDescent="0.3">
      <c r="A1018" s="326" t="s">
        <v>844</v>
      </c>
      <c r="B1018" s="325">
        <v>5809</v>
      </c>
      <c r="C1018" s="325">
        <v>0.2</v>
      </c>
      <c r="D1018" s="325">
        <v>0.25</v>
      </c>
      <c r="E1018" s="325" t="s">
        <v>747</v>
      </c>
      <c r="F1018" s="325">
        <v>0.15</v>
      </c>
      <c r="G1018" s="324">
        <v>0.08</v>
      </c>
    </row>
    <row r="1019" spans="1:7" x14ac:dyDescent="0.3">
      <c r="A1019" s="326" t="s">
        <v>843</v>
      </c>
      <c r="B1019" s="325">
        <v>15814</v>
      </c>
      <c r="C1019" s="325">
        <v>0.2</v>
      </c>
      <c r="D1019" s="325">
        <v>0.25</v>
      </c>
      <c r="E1019" s="325" t="s">
        <v>747</v>
      </c>
      <c r="F1019" s="325">
        <v>0.16</v>
      </c>
      <c r="G1019" s="324">
        <v>0.08</v>
      </c>
    </row>
    <row r="1020" spans="1:7" x14ac:dyDescent="0.3">
      <c r="A1020" s="326" t="s">
        <v>842</v>
      </c>
      <c r="B1020" s="325">
        <v>25815</v>
      </c>
      <c r="C1020" s="325">
        <v>0.2</v>
      </c>
      <c r="D1020" s="325">
        <v>0.2</v>
      </c>
      <c r="E1020" s="325" t="s">
        <v>719</v>
      </c>
      <c r="F1020" s="325">
        <v>0.12</v>
      </c>
      <c r="G1020" s="324">
        <v>0.06</v>
      </c>
    </row>
    <row r="1021" spans="1:7" x14ac:dyDescent="0.3">
      <c r="A1021" s="326" t="s">
        <v>841</v>
      </c>
      <c r="B1021" s="325">
        <v>25817</v>
      </c>
      <c r="C1021" s="325">
        <v>0.15</v>
      </c>
      <c r="D1021" s="325">
        <v>0.2</v>
      </c>
      <c r="E1021" s="325" t="s">
        <v>719</v>
      </c>
      <c r="F1021" s="325">
        <v>0.09</v>
      </c>
      <c r="G1021" s="324">
        <v>0.05</v>
      </c>
    </row>
    <row r="1022" spans="1:7" x14ac:dyDescent="0.3">
      <c r="A1022" s="326" t="s">
        <v>840</v>
      </c>
      <c r="B1022" s="325">
        <v>15816</v>
      </c>
      <c r="C1022" s="325">
        <v>0.15</v>
      </c>
      <c r="D1022" s="325">
        <v>0.2</v>
      </c>
      <c r="E1022" s="325" t="s">
        <v>719</v>
      </c>
      <c r="F1022" s="325">
        <v>0.1</v>
      </c>
      <c r="G1022" s="324">
        <v>0.06</v>
      </c>
    </row>
    <row r="1023" spans="1:7" x14ac:dyDescent="0.3">
      <c r="A1023" s="326" t="s">
        <v>839</v>
      </c>
      <c r="B1023" s="325">
        <v>54820</v>
      </c>
      <c r="C1023" s="325">
        <v>0.35</v>
      </c>
      <c r="D1023" s="325">
        <v>0.3</v>
      </c>
      <c r="E1023" s="325" t="s">
        <v>747</v>
      </c>
      <c r="F1023" s="325">
        <v>0.24</v>
      </c>
      <c r="G1023" s="324">
        <v>0.1</v>
      </c>
    </row>
    <row r="1024" spans="1:7" x14ac:dyDescent="0.3">
      <c r="A1024" s="326" t="s">
        <v>839</v>
      </c>
      <c r="B1024" s="325">
        <v>5819</v>
      </c>
      <c r="C1024" s="325">
        <v>0.15</v>
      </c>
      <c r="D1024" s="325">
        <v>0.2</v>
      </c>
      <c r="E1024" s="325" t="s">
        <v>719</v>
      </c>
      <c r="F1024" s="325">
        <v>0.13</v>
      </c>
      <c r="G1024" s="324">
        <v>7.0000000000000007E-2</v>
      </c>
    </row>
    <row r="1025" spans="1:7" x14ac:dyDescent="0.3">
      <c r="A1025" s="326" t="s">
        <v>838</v>
      </c>
      <c r="B1025" s="325">
        <v>70820</v>
      </c>
      <c r="C1025" s="325">
        <v>0.1</v>
      </c>
      <c r="D1025" s="325">
        <v>0.15</v>
      </c>
      <c r="E1025" s="325" t="s">
        <v>719</v>
      </c>
      <c r="F1025" s="325">
        <v>0.04</v>
      </c>
      <c r="G1025" s="324">
        <v>0.03</v>
      </c>
    </row>
    <row r="1026" spans="1:7" x14ac:dyDescent="0.3">
      <c r="A1026" s="326" t="s">
        <v>837</v>
      </c>
      <c r="B1026" s="325">
        <v>70823</v>
      </c>
      <c r="C1026" s="325">
        <v>0.1</v>
      </c>
      <c r="D1026" s="325">
        <v>0.15</v>
      </c>
      <c r="E1026" s="325" t="s">
        <v>719</v>
      </c>
      <c r="F1026" s="325">
        <v>0.06</v>
      </c>
      <c r="G1026" s="324">
        <v>0.04</v>
      </c>
    </row>
    <row r="1027" spans="1:7" x14ac:dyDescent="0.3">
      <c r="A1027" s="326" t="s">
        <v>836</v>
      </c>
      <c r="B1027" s="325">
        <v>68820</v>
      </c>
      <c r="C1027" s="325">
        <v>0.25</v>
      </c>
      <c r="D1027" s="325">
        <v>0.25</v>
      </c>
      <c r="E1027" s="325" t="s">
        <v>747</v>
      </c>
      <c r="F1027" s="325">
        <v>0.09</v>
      </c>
      <c r="G1027" s="324">
        <v>0.05</v>
      </c>
    </row>
    <row r="1028" spans="1:7" x14ac:dyDescent="0.3">
      <c r="A1028" s="326" t="s">
        <v>835</v>
      </c>
      <c r="B1028" s="325">
        <v>15820</v>
      </c>
      <c r="C1028" s="325">
        <v>0.25</v>
      </c>
      <c r="D1028" s="325">
        <v>0.25</v>
      </c>
      <c r="E1028" s="325" t="s">
        <v>747</v>
      </c>
      <c r="F1028" s="325">
        <v>0.16</v>
      </c>
      <c r="G1028" s="324">
        <v>0.08</v>
      </c>
    </row>
    <row r="1029" spans="1:7" x14ac:dyDescent="0.3">
      <c r="A1029" s="326" t="s">
        <v>834</v>
      </c>
      <c r="B1029" s="325">
        <v>25823</v>
      </c>
      <c r="C1029" s="325">
        <v>0.15</v>
      </c>
      <c r="D1029" s="325">
        <v>0.15</v>
      </c>
      <c r="E1029" s="325" t="s">
        <v>719</v>
      </c>
      <c r="F1029" s="325">
        <v>0.15</v>
      </c>
      <c r="G1029" s="324">
        <v>0.06</v>
      </c>
    </row>
    <row r="1030" spans="1:7" x14ac:dyDescent="0.3">
      <c r="A1030" s="326" t="s">
        <v>833</v>
      </c>
      <c r="B1030" s="325">
        <v>19821</v>
      </c>
      <c r="C1030" s="325">
        <v>0.25</v>
      </c>
      <c r="D1030" s="325">
        <v>0.2</v>
      </c>
      <c r="E1030" s="325" t="s">
        <v>747</v>
      </c>
      <c r="F1030" s="325">
        <v>0.09</v>
      </c>
      <c r="G1030" s="324">
        <v>0.05</v>
      </c>
    </row>
    <row r="1031" spans="1:7" x14ac:dyDescent="0.3">
      <c r="A1031" s="326" t="s">
        <v>832</v>
      </c>
      <c r="B1031" s="325">
        <v>76823</v>
      </c>
      <c r="C1031" s="325">
        <v>0.25</v>
      </c>
      <c r="D1031" s="325">
        <v>0.25</v>
      </c>
      <c r="E1031" s="325" t="s">
        <v>747</v>
      </c>
      <c r="F1031" s="325">
        <v>0.16</v>
      </c>
      <c r="G1031" s="324">
        <v>0.14000000000000001</v>
      </c>
    </row>
    <row r="1032" spans="1:7" x14ac:dyDescent="0.3">
      <c r="A1032" s="326" t="s">
        <v>831</v>
      </c>
      <c r="B1032" s="325">
        <v>15822</v>
      </c>
      <c r="C1032" s="325">
        <v>0.2</v>
      </c>
      <c r="D1032" s="325">
        <v>0.25</v>
      </c>
      <c r="E1032" s="325" t="s">
        <v>747</v>
      </c>
      <c r="F1032" s="325">
        <v>0.16</v>
      </c>
      <c r="G1032" s="324">
        <v>0.08</v>
      </c>
    </row>
    <row r="1033" spans="1:7" x14ac:dyDescent="0.3">
      <c r="A1033" s="326" t="s">
        <v>830</v>
      </c>
      <c r="B1033" s="325">
        <v>19824</v>
      </c>
      <c r="C1033" s="325">
        <v>0.25</v>
      </c>
      <c r="D1033" s="325">
        <v>0.2</v>
      </c>
      <c r="E1033" s="325" t="s">
        <v>747</v>
      </c>
      <c r="F1033" s="325">
        <v>0.1</v>
      </c>
      <c r="G1033" s="324">
        <v>0.05</v>
      </c>
    </row>
    <row r="1034" spans="1:7" x14ac:dyDescent="0.3">
      <c r="A1034" s="326" t="s">
        <v>829</v>
      </c>
      <c r="B1034" s="325">
        <v>85430</v>
      </c>
      <c r="C1034" s="325">
        <v>0.05</v>
      </c>
      <c r="D1034" s="325">
        <v>0.15</v>
      </c>
      <c r="E1034" s="325" t="s">
        <v>719</v>
      </c>
      <c r="F1034" s="325">
        <v>0.04</v>
      </c>
      <c r="G1034" s="324">
        <v>0.02</v>
      </c>
    </row>
    <row r="1035" spans="1:7" x14ac:dyDescent="0.3">
      <c r="A1035" s="326" t="s">
        <v>828</v>
      </c>
      <c r="B1035" s="325">
        <v>76828</v>
      </c>
      <c r="C1035" s="325">
        <v>0.25</v>
      </c>
      <c r="D1035" s="325">
        <v>0.25</v>
      </c>
      <c r="E1035" s="325" t="s">
        <v>747</v>
      </c>
      <c r="F1035" s="325">
        <v>0.15</v>
      </c>
      <c r="G1035" s="324">
        <v>0.1</v>
      </c>
    </row>
    <row r="1036" spans="1:7" x14ac:dyDescent="0.3">
      <c r="A1036" s="326" t="s">
        <v>827</v>
      </c>
      <c r="B1036" s="325">
        <v>8832</v>
      </c>
      <c r="C1036" s="325">
        <v>0.1</v>
      </c>
      <c r="D1036" s="325">
        <v>0.1</v>
      </c>
      <c r="E1036" s="325" t="s">
        <v>743</v>
      </c>
      <c r="F1036" s="325">
        <v>0.04</v>
      </c>
      <c r="G1036" s="324">
        <v>0.03</v>
      </c>
    </row>
    <row r="1037" spans="1:7" x14ac:dyDescent="0.3">
      <c r="A1037" s="326" t="s">
        <v>1795</v>
      </c>
      <c r="B1037" s="325">
        <v>23815</v>
      </c>
      <c r="C1037" s="325">
        <v>0.1</v>
      </c>
      <c r="D1037" s="325">
        <v>0.15</v>
      </c>
      <c r="E1037" s="325" t="s">
        <v>719</v>
      </c>
      <c r="F1037" s="325">
        <v>0.05</v>
      </c>
      <c r="G1037" s="324">
        <v>0.03</v>
      </c>
    </row>
    <row r="1038" spans="1:7" x14ac:dyDescent="0.3">
      <c r="A1038" s="326" t="s">
        <v>826</v>
      </c>
      <c r="B1038" s="325">
        <v>76834</v>
      </c>
      <c r="C1038" s="325">
        <v>0.25</v>
      </c>
      <c r="D1038" s="325">
        <v>0.2</v>
      </c>
      <c r="E1038" s="325" t="s">
        <v>747</v>
      </c>
      <c r="F1038" s="325">
        <v>0.12</v>
      </c>
      <c r="G1038" s="324">
        <v>7.0000000000000007E-2</v>
      </c>
    </row>
    <row r="1039" spans="1:7" x14ac:dyDescent="0.3">
      <c r="A1039" s="326" t="s">
        <v>825</v>
      </c>
      <c r="B1039" s="325">
        <v>52835</v>
      </c>
      <c r="C1039" s="325">
        <v>0.45</v>
      </c>
      <c r="D1039" s="325">
        <v>0.4</v>
      </c>
      <c r="E1039" s="325" t="s">
        <v>747</v>
      </c>
      <c r="F1039" s="325">
        <v>0.16</v>
      </c>
      <c r="G1039" s="324">
        <v>0.08</v>
      </c>
    </row>
    <row r="1040" spans="1:7" x14ac:dyDescent="0.3">
      <c r="A1040" s="326" t="s">
        <v>824</v>
      </c>
      <c r="B1040" s="325">
        <v>15001</v>
      </c>
      <c r="C1040" s="325">
        <v>0.2</v>
      </c>
      <c r="D1040" s="325">
        <v>0.2</v>
      </c>
      <c r="E1040" s="325" t="s">
        <v>719</v>
      </c>
      <c r="F1040" s="325">
        <v>0.15</v>
      </c>
      <c r="G1040" s="324">
        <v>7.0000000000000007E-2</v>
      </c>
    </row>
    <row r="1041" spans="1:7" x14ac:dyDescent="0.3">
      <c r="A1041" s="326" t="s">
        <v>823</v>
      </c>
      <c r="B1041" s="325">
        <v>15832</v>
      </c>
      <c r="C1041" s="325">
        <v>0.15</v>
      </c>
      <c r="D1041" s="325">
        <v>0.15</v>
      </c>
      <c r="E1041" s="325" t="s">
        <v>719</v>
      </c>
      <c r="F1041" s="325">
        <v>0.13</v>
      </c>
      <c r="G1041" s="324">
        <v>7.0000000000000007E-2</v>
      </c>
    </row>
    <row r="1042" spans="1:7" x14ac:dyDescent="0.3">
      <c r="A1042" s="326" t="s">
        <v>822</v>
      </c>
      <c r="B1042" s="325">
        <v>52838</v>
      </c>
      <c r="C1042" s="325">
        <v>0.25</v>
      </c>
      <c r="D1042" s="325">
        <v>0.25</v>
      </c>
      <c r="E1042" s="325" t="s">
        <v>747</v>
      </c>
      <c r="F1042" s="325">
        <v>0.16</v>
      </c>
      <c r="G1042" s="324">
        <v>0.08</v>
      </c>
    </row>
    <row r="1043" spans="1:7" x14ac:dyDescent="0.3">
      <c r="A1043" s="326" t="s">
        <v>821</v>
      </c>
      <c r="B1043" s="325">
        <v>13836</v>
      </c>
      <c r="C1043" s="325">
        <v>0.1</v>
      </c>
      <c r="D1043" s="325">
        <v>0.1</v>
      </c>
      <c r="E1043" s="325" t="s">
        <v>743</v>
      </c>
      <c r="F1043" s="325">
        <v>0.05</v>
      </c>
      <c r="G1043" s="324">
        <v>0.03</v>
      </c>
    </row>
    <row r="1044" spans="1:7" x14ac:dyDescent="0.3">
      <c r="A1044" s="326" t="s">
        <v>820</v>
      </c>
      <c r="B1044" s="325">
        <v>13838</v>
      </c>
      <c r="C1044" s="325">
        <v>0.1</v>
      </c>
      <c r="D1044" s="325">
        <v>0.1</v>
      </c>
      <c r="E1044" s="325" t="s">
        <v>743</v>
      </c>
      <c r="F1044" s="325">
        <v>0.05</v>
      </c>
      <c r="G1044" s="324">
        <v>0.03</v>
      </c>
    </row>
    <row r="1045" spans="1:7" x14ac:dyDescent="0.3">
      <c r="A1045" s="326" t="s">
        <v>819</v>
      </c>
      <c r="B1045" s="325">
        <v>5837</v>
      </c>
      <c r="C1045" s="325">
        <v>0.25</v>
      </c>
      <c r="D1045" s="325">
        <v>0.25</v>
      </c>
      <c r="E1045" s="325" t="s">
        <v>747</v>
      </c>
      <c r="F1045" s="325">
        <v>0.13</v>
      </c>
      <c r="G1045" s="324">
        <v>7.0000000000000007E-2</v>
      </c>
    </row>
    <row r="1046" spans="1:7" x14ac:dyDescent="0.3">
      <c r="A1046" s="326" t="s">
        <v>818</v>
      </c>
      <c r="B1046" s="325">
        <v>15835</v>
      </c>
      <c r="C1046" s="325">
        <v>0.2</v>
      </c>
      <c r="D1046" s="325">
        <v>0.2</v>
      </c>
      <c r="E1046" s="325" t="s">
        <v>719</v>
      </c>
      <c r="F1046" s="325">
        <v>0.12</v>
      </c>
      <c r="G1046" s="324">
        <v>0.06</v>
      </c>
    </row>
    <row r="1047" spans="1:7" x14ac:dyDescent="0.3">
      <c r="A1047" s="326" t="s">
        <v>817</v>
      </c>
      <c r="B1047" s="325">
        <v>15837</v>
      </c>
      <c r="C1047" s="325">
        <v>0.2</v>
      </c>
      <c r="D1047" s="325">
        <v>0.25</v>
      </c>
      <c r="E1047" s="325" t="s">
        <v>747</v>
      </c>
      <c r="F1047" s="325">
        <v>0.14000000000000001</v>
      </c>
      <c r="G1047" s="324">
        <v>7.0000000000000007E-2</v>
      </c>
    </row>
    <row r="1048" spans="1:7" x14ac:dyDescent="0.3">
      <c r="A1048" s="326" t="s">
        <v>816</v>
      </c>
      <c r="B1048" s="325">
        <v>15839</v>
      </c>
      <c r="C1048" s="325">
        <v>0.25</v>
      </c>
      <c r="D1048" s="325">
        <v>0.25</v>
      </c>
      <c r="E1048" s="325" t="s">
        <v>747</v>
      </c>
      <c r="F1048" s="325">
        <v>0.16</v>
      </c>
      <c r="G1048" s="324">
        <v>0.08</v>
      </c>
    </row>
    <row r="1049" spans="1:7" x14ac:dyDescent="0.3">
      <c r="A1049" s="326" t="s">
        <v>815</v>
      </c>
      <c r="B1049" s="325">
        <v>25839</v>
      </c>
      <c r="C1049" s="325">
        <v>0.25</v>
      </c>
      <c r="D1049" s="325">
        <v>0.25</v>
      </c>
      <c r="E1049" s="325" t="s">
        <v>747</v>
      </c>
      <c r="F1049" s="325">
        <v>0.16</v>
      </c>
      <c r="G1049" s="324">
        <v>0.06</v>
      </c>
    </row>
    <row r="1050" spans="1:7" x14ac:dyDescent="0.3">
      <c r="A1050" s="326" t="s">
        <v>814</v>
      </c>
      <c r="B1050" s="325">
        <v>25841</v>
      </c>
      <c r="C1050" s="325">
        <v>0.2</v>
      </c>
      <c r="D1050" s="325">
        <v>0.25</v>
      </c>
      <c r="E1050" s="325" t="s">
        <v>747</v>
      </c>
      <c r="F1050" s="325">
        <v>0.12</v>
      </c>
      <c r="G1050" s="324">
        <v>0.06</v>
      </c>
    </row>
    <row r="1051" spans="1:7" x14ac:dyDescent="0.3">
      <c r="A1051" s="326" t="s">
        <v>813</v>
      </c>
      <c r="B1051" s="325">
        <v>25843</v>
      </c>
      <c r="C1051" s="325">
        <v>0.15</v>
      </c>
      <c r="D1051" s="325">
        <v>0.2</v>
      </c>
      <c r="E1051" s="325" t="s">
        <v>719</v>
      </c>
      <c r="F1051" s="325">
        <v>0.08</v>
      </c>
      <c r="G1051" s="324">
        <v>0.05</v>
      </c>
    </row>
    <row r="1052" spans="1:7" x14ac:dyDescent="0.3">
      <c r="A1052" s="326" t="s">
        <v>812</v>
      </c>
      <c r="B1052" s="325">
        <v>76845</v>
      </c>
      <c r="C1052" s="325">
        <v>0.25</v>
      </c>
      <c r="D1052" s="325">
        <v>0.25</v>
      </c>
      <c r="E1052" s="325" t="s">
        <v>747</v>
      </c>
      <c r="F1052" s="325">
        <v>0.16</v>
      </c>
      <c r="G1052" s="324">
        <v>0.1</v>
      </c>
    </row>
    <row r="1053" spans="1:7" x14ac:dyDescent="0.3">
      <c r="A1053" s="326" t="s">
        <v>811</v>
      </c>
      <c r="B1053" s="325">
        <v>15842</v>
      </c>
      <c r="C1053" s="325">
        <v>0.2</v>
      </c>
      <c r="D1053" s="325">
        <v>0.25</v>
      </c>
      <c r="E1053" s="325" t="s">
        <v>747</v>
      </c>
      <c r="F1053" s="325">
        <v>0.15</v>
      </c>
      <c r="G1053" s="324">
        <v>0.06</v>
      </c>
    </row>
    <row r="1054" spans="1:7" x14ac:dyDescent="0.3">
      <c r="A1054" s="326" t="s">
        <v>810</v>
      </c>
      <c r="B1054" s="325">
        <v>25845</v>
      </c>
      <c r="C1054" s="325">
        <v>0.2</v>
      </c>
      <c r="D1054" s="325">
        <v>0.25</v>
      </c>
      <c r="E1054" s="325" t="s">
        <v>747</v>
      </c>
      <c r="F1054" s="325">
        <v>0.13</v>
      </c>
      <c r="G1054" s="324">
        <v>0.06</v>
      </c>
    </row>
    <row r="1055" spans="1:7" x14ac:dyDescent="0.3">
      <c r="A1055" s="326" t="s">
        <v>809</v>
      </c>
      <c r="B1055" s="325">
        <v>27800</v>
      </c>
      <c r="C1055" s="325">
        <v>0.25</v>
      </c>
      <c r="D1055" s="325">
        <v>0.25</v>
      </c>
      <c r="E1055" s="325" t="s">
        <v>747</v>
      </c>
      <c r="F1055" s="325">
        <v>0.15</v>
      </c>
      <c r="G1055" s="324">
        <v>7.0000000000000007E-2</v>
      </c>
    </row>
    <row r="1056" spans="1:7" x14ac:dyDescent="0.3">
      <c r="A1056" s="326" t="s">
        <v>808</v>
      </c>
      <c r="B1056" s="325">
        <v>27810</v>
      </c>
      <c r="C1056" s="325">
        <v>0.4</v>
      </c>
      <c r="D1056" s="325">
        <v>0.4</v>
      </c>
      <c r="E1056" s="325" t="s">
        <v>747</v>
      </c>
      <c r="F1056" s="325">
        <v>0.24</v>
      </c>
      <c r="G1056" s="324">
        <v>0.1</v>
      </c>
    </row>
    <row r="1057" spans="1:7" x14ac:dyDescent="0.3">
      <c r="A1057" s="326" t="s">
        <v>807</v>
      </c>
      <c r="B1057" s="325">
        <v>5842</v>
      </c>
      <c r="C1057" s="325">
        <v>0.25</v>
      </c>
      <c r="D1057" s="325">
        <v>0.25</v>
      </c>
      <c r="E1057" s="325" t="s">
        <v>747</v>
      </c>
      <c r="F1057" s="325">
        <v>0.12</v>
      </c>
      <c r="G1057" s="324">
        <v>7.0000000000000007E-2</v>
      </c>
    </row>
    <row r="1058" spans="1:7" x14ac:dyDescent="0.3">
      <c r="A1058" s="326" t="s">
        <v>806</v>
      </c>
      <c r="B1058" s="325">
        <v>44847</v>
      </c>
      <c r="C1058" s="325">
        <v>0.15</v>
      </c>
      <c r="D1058" s="325">
        <v>0.15</v>
      </c>
      <c r="E1058" s="325" t="s">
        <v>719</v>
      </c>
      <c r="F1058" s="325">
        <v>0.08</v>
      </c>
      <c r="G1058" s="324">
        <v>0.04</v>
      </c>
    </row>
    <row r="1059" spans="1:7" x14ac:dyDescent="0.3">
      <c r="A1059" s="326" t="s">
        <v>805</v>
      </c>
      <c r="B1059" s="325">
        <v>5847</v>
      </c>
      <c r="C1059" s="325">
        <v>0.3</v>
      </c>
      <c r="D1059" s="325">
        <v>0.3</v>
      </c>
      <c r="E1059" s="325" t="s">
        <v>747</v>
      </c>
      <c r="F1059" s="325">
        <v>0.17</v>
      </c>
      <c r="G1059" s="324">
        <v>0.1</v>
      </c>
    </row>
    <row r="1060" spans="1:7" x14ac:dyDescent="0.3">
      <c r="A1060" s="326" t="s">
        <v>804</v>
      </c>
      <c r="B1060" s="325">
        <v>44855</v>
      </c>
      <c r="C1060" s="325">
        <v>0.1</v>
      </c>
      <c r="D1060" s="325">
        <v>0.1</v>
      </c>
      <c r="E1060" s="325" t="s">
        <v>743</v>
      </c>
      <c r="F1060" s="325">
        <v>0.06</v>
      </c>
      <c r="G1060" s="324">
        <v>0.03</v>
      </c>
    </row>
    <row r="1061" spans="1:7" x14ac:dyDescent="0.3">
      <c r="A1061" s="326" t="s">
        <v>803</v>
      </c>
      <c r="B1061" s="325">
        <v>8849</v>
      </c>
      <c r="C1061" s="325">
        <v>0.1</v>
      </c>
      <c r="D1061" s="325">
        <v>0.1</v>
      </c>
      <c r="E1061" s="325" t="s">
        <v>743</v>
      </c>
      <c r="F1061" s="325">
        <v>0.04</v>
      </c>
      <c r="G1061" s="324">
        <v>0.03</v>
      </c>
    </row>
    <row r="1062" spans="1:7" x14ac:dyDescent="0.3">
      <c r="A1062" s="326" t="s">
        <v>802</v>
      </c>
      <c r="B1062" s="325">
        <v>25851</v>
      </c>
      <c r="C1062" s="325">
        <v>0.15</v>
      </c>
      <c r="D1062" s="325">
        <v>0.2</v>
      </c>
      <c r="E1062" s="325" t="s">
        <v>719</v>
      </c>
      <c r="F1062" s="325">
        <v>0.18</v>
      </c>
      <c r="G1062" s="324">
        <v>0.06</v>
      </c>
    </row>
    <row r="1063" spans="1:7" x14ac:dyDescent="0.3">
      <c r="A1063" s="326" t="s">
        <v>801</v>
      </c>
      <c r="B1063" s="325">
        <v>5854</v>
      </c>
      <c r="C1063" s="325">
        <v>0.15</v>
      </c>
      <c r="D1063" s="325">
        <v>0.2</v>
      </c>
      <c r="E1063" s="325" t="s">
        <v>719</v>
      </c>
      <c r="F1063" s="325">
        <v>0.11</v>
      </c>
      <c r="G1063" s="324">
        <v>0.05</v>
      </c>
    </row>
    <row r="1064" spans="1:7" x14ac:dyDescent="0.3">
      <c r="A1064" s="326" t="s">
        <v>800</v>
      </c>
      <c r="B1064" s="325">
        <v>23855</v>
      </c>
      <c r="C1064" s="325">
        <v>0.15</v>
      </c>
      <c r="D1064" s="325">
        <v>0.2</v>
      </c>
      <c r="E1064" s="325" t="s">
        <v>719</v>
      </c>
      <c r="F1064" s="325">
        <v>0.08</v>
      </c>
      <c r="G1064" s="324">
        <v>0.04</v>
      </c>
    </row>
    <row r="1065" spans="1:7" x14ac:dyDescent="0.3">
      <c r="A1065" s="326" t="s">
        <v>799</v>
      </c>
      <c r="B1065" s="325">
        <v>73854</v>
      </c>
      <c r="C1065" s="325">
        <v>0.25</v>
      </c>
      <c r="D1065" s="325">
        <v>0.2</v>
      </c>
      <c r="E1065" s="325" t="s">
        <v>747</v>
      </c>
      <c r="F1065" s="325">
        <v>0.1</v>
      </c>
      <c r="G1065" s="324">
        <v>0.06</v>
      </c>
    </row>
    <row r="1066" spans="1:7" x14ac:dyDescent="0.3">
      <c r="A1066" s="326" t="s">
        <v>798</v>
      </c>
      <c r="B1066" s="325">
        <v>86865</v>
      </c>
      <c r="C1066" s="325">
        <v>0.15</v>
      </c>
      <c r="D1066" s="325">
        <v>0.2</v>
      </c>
      <c r="E1066" s="325" t="s">
        <v>719</v>
      </c>
      <c r="F1066" s="325">
        <v>0.04</v>
      </c>
      <c r="G1066" s="324">
        <v>0.02</v>
      </c>
    </row>
    <row r="1067" spans="1:7" x14ac:dyDescent="0.3">
      <c r="A1067" s="326" t="s">
        <v>797</v>
      </c>
      <c r="B1067" s="325">
        <v>68855</v>
      </c>
      <c r="C1067" s="325">
        <v>0.2</v>
      </c>
      <c r="D1067" s="325">
        <v>0.25</v>
      </c>
      <c r="E1067" s="325" t="s">
        <v>747</v>
      </c>
      <c r="F1067" s="325">
        <v>0.08</v>
      </c>
      <c r="G1067" s="324">
        <v>0.06</v>
      </c>
    </row>
    <row r="1068" spans="1:7" x14ac:dyDescent="0.3">
      <c r="A1068" s="326" t="s">
        <v>796</v>
      </c>
      <c r="B1068" s="325">
        <v>20001</v>
      </c>
      <c r="C1068" s="325">
        <v>0.1</v>
      </c>
      <c r="D1068" s="325">
        <v>0.1</v>
      </c>
      <c r="E1068" s="325" t="s">
        <v>743</v>
      </c>
      <c r="F1068" s="325">
        <v>0.05</v>
      </c>
      <c r="G1068" s="324">
        <v>0.03</v>
      </c>
    </row>
    <row r="1069" spans="1:7" x14ac:dyDescent="0.3">
      <c r="A1069" s="326" t="s">
        <v>795</v>
      </c>
      <c r="B1069" s="325">
        <v>5856</v>
      </c>
      <c r="C1069" s="325">
        <v>0.25</v>
      </c>
      <c r="D1069" s="325">
        <v>0.25</v>
      </c>
      <c r="E1069" s="325" t="s">
        <v>747</v>
      </c>
      <c r="F1069" s="325">
        <v>0.15</v>
      </c>
      <c r="G1069" s="324">
        <v>0.09</v>
      </c>
    </row>
    <row r="1070" spans="1:7" x14ac:dyDescent="0.3">
      <c r="A1070" s="326" t="s">
        <v>795</v>
      </c>
      <c r="B1070" s="325">
        <v>18860</v>
      </c>
      <c r="C1070" s="325">
        <v>0.05</v>
      </c>
      <c r="D1070" s="325">
        <v>0.15</v>
      </c>
      <c r="E1070" s="325" t="s">
        <v>719</v>
      </c>
      <c r="F1070" s="325">
        <v>0.04</v>
      </c>
      <c r="G1070" s="324">
        <v>0.03</v>
      </c>
    </row>
    <row r="1071" spans="1:7" x14ac:dyDescent="0.3">
      <c r="A1071" s="326" t="s">
        <v>794</v>
      </c>
      <c r="B1071" s="325">
        <v>5858</v>
      </c>
      <c r="C1071" s="325">
        <v>0.15</v>
      </c>
      <c r="D1071" s="325">
        <v>0.2</v>
      </c>
      <c r="E1071" s="325" t="s">
        <v>719</v>
      </c>
      <c r="F1071" s="325">
        <v>0.08</v>
      </c>
      <c r="G1071" s="324">
        <v>0.05</v>
      </c>
    </row>
    <row r="1072" spans="1:7" x14ac:dyDescent="0.3">
      <c r="A1072" s="326" t="s">
        <v>793</v>
      </c>
      <c r="B1072" s="325">
        <v>68861</v>
      </c>
      <c r="C1072" s="325">
        <v>0.15</v>
      </c>
      <c r="D1072" s="325">
        <v>0.15</v>
      </c>
      <c r="E1072" s="325" t="s">
        <v>719</v>
      </c>
      <c r="F1072" s="325">
        <v>0.15</v>
      </c>
      <c r="G1072" s="324">
        <v>0.08</v>
      </c>
    </row>
    <row r="1073" spans="1:7" x14ac:dyDescent="0.3">
      <c r="A1073" s="326" t="s">
        <v>792</v>
      </c>
      <c r="B1073" s="325">
        <v>73861</v>
      </c>
      <c r="C1073" s="325">
        <v>0.2</v>
      </c>
      <c r="D1073" s="325">
        <v>0.2</v>
      </c>
      <c r="E1073" s="325" t="s">
        <v>719</v>
      </c>
      <c r="F1073" s="325">
        <v>0.11</v>
      </c>
      <c r="G1073" s="324">
        <v>7.0000000000000007E-2</v>
      </c>
    </row>
    <row r="1074" spans="1:7" x14ac:dyDescent="0.3">
      <c r="A1074" s="326" t="s">
        <v>791</v>
      </c>
      <c r="B1074" s="325">
        <v>5861</v>
      </c>
      <c r="C1074" s="325">
        <v>0.2</v>
      </c>
      <c r="D1074" s="325">
        <v>0.25</v>
      </c>
      <c r="E1074" s="325" t="s">
        <v>747</v>
      </c>
      <c r="F1074" s="325">
        <v>0.15</v>
      </c>
      <c r="G1074" s="324">
        <v>0.08</v>
      </c>
    </row>
    <row r="1075" spans="1:7" x14ac:dyDescent="0.3">
      <c r="A1075" s="326" t="s">
        <v>791</v>
      </c>
      <c r="B1075" s="325">
        <v>25506</v>
      </c>
      <c r="C1075" s="325">
        <v>0.25</v>
      </c>
      <c r="D1075" s="325">
        <v>0.2</v>
      </c>
      <c r="E1075" s="325" t="s">
        <v>747</v>
      </c>
      <c r="F1075" s="325">
        <v>0.1</v>
      </c>
      <c r="G1075" s="324">
        <v>0.05</v>
      </c>
    </row>
    <row r="1076" spans="1:7" x14ac:dyDescent="0.3">
      <c r="A1076" s="326" t="s">
        <v>790</v>
      </c>
      <c r="B1076" s="325">
        <v>15861</v>
      </c>
      <c r="C1076" s="325">
        <v>0.2</v>
      </c>
      <c r="D1076" s="325">
        <v>0.2</v>
      </c>
      <c r="E1076" s="325" t="s">
        <v>719</v>
      </c>
      <c r="F1076" s="325">
        <v>0.11</v>
      </c>
      <c r="G1076" s="324">
        <v>0.05</v>
      </c>
    </row>
    <row r="1077" spans="1:7" x14ac:dyDescent="0.3">
      <c r="A1077" s="326" t="s">
        <v>789</v>
      </c>
      <c r="B1077" s="325">
        <v>25862</v>
      </c>
      <c r="C1077" s="325">
        <v>0.15</v>
      </c>
      <c r="D1077" s="325">
        <v>0.2</v>
      </c>
      <c r="E1077" s="325" t="s">
        <v>719</v>
      </c>
      <c r="F1077" s="325">
        <v>0.12</v>
      </c>
      <c r="G1077" s="324">
        <v>0.06</v>
      </c>
    </row>
    <row r="1078" spans="1:7" x14ac:dyDescent="0.3">
      <c r="A1078" s="326" t="s">
        <v>788</v>
      </c>
      <c r="B1078" s="325">
        <v>76863</v>
      </c>
      <c r="C1078" s="325">
        <v>0.3</v>
      </c>
      <c r="D1078" s="325">
        <v>0.3</v>
      </c>
      <c r="E1078" s="325" t="s">
        <v>747</v>
      </c>
      <c r="F1078" s="325">
        <v>0.16</v>
      </c>
      <c r="G1078" s="324">
        <v>0.1</v>
      </c>
    </row>
    <row r="1079" spans="1:7" x14ac:dyDescent="0.3">
      <c r="A1079" s="326" t="s">
        <v>787</v>
      </c>
      <c r="B1079" s="325">
        <v>68867</v>
      </c>
      <c r="C1079" s="325">
        <v>0.25</v>
      </c>
      <c r="D1079" s="325">
        <v>0.25</v>
      </c>
      <c r="E1079" s="325" t="s">
        <v>747</v>
      </c>
      <c r="F1079" s="325">
        <v>0.09</v>
      </c>
      <c r="G1079" s="324">
        <v>0.05</v>
      </c>
    </row>
    <row r="1080" spans="1:7" x14ac:dyDescent="0.3">
      <c r="A1080" s="326" t="s">
        <v>786</v>
      </c>
      <c r="B1080" s="325">
        <v>25867</v>
      </c>
      <c r="C1080" s="325">
        <v>0.15</v>
      </c>
      <c r="D1080" s="325">
        <v>0.2</v>
      </c>
      <c r="E1080" s="325" t="s">
        <v>719</v>
      </c>
      <c r="F1080" s="325">
        <v>0.16</v>
      </c>
      <c r="G1080" s="324">
        <v>0.06</v>
      </c>
    </row>
    <row r="1081" spans="1:7" x14ac:dyDescent="0.3">
      <c r="A1081" s="326" t="s">
        <v>785</v>
      </c>
      <c r="B1081" s="325">
        <v>17867</v>
      </c>
      <c r="C1081" s="325">
        <v>0.25</v>
      </c>
      <c r="D1081" s="325">
        <v>0.2</v>
      </c>
      <c r="E1081" s="325" t="s">
        <v>747</v>
      </c>
      <c r="F1081" s="325">
        <v>0.13</v>
      </c>
      <c r="G1081" s="324">
        <v>0.06</v>
      </c>
    </row>
    <row r="1082" spans="1:7" x14ac:dyDescent="0.3">
      <c r="A1082" s="326" t="s">
        <v>784</v>
      </c>
      <c r="B1082" s="325">
        <v>5873</v>
      </c>
      <c r="C1082" s="325">
        <v>0.35</v>
      </c>
      <c r="D1082" s="325">
        <v>0.35</v>
      </c>
      <c r="E1082" s="325" t="s">
        <v>747</v>
      </c>
      <c r="F1082" s="325">
        <v>0.22</v>
      </c>
      <c r="G1082" s="324">
        <v>0.12</v>
      </c>
    </row>
    <row r="1083" spans="1:7" x14ac:dyDescent="0.3">
      <c r="A1083" s="326" t="s">
        <v>783</v>
      </c>
      <c r="B1083" s="325">
        <v>76869</v>
      </c>
      <c r="C1083" s="325">
        <v>0.25</v>
      </c>
      <c r="D1083" s="325">
        <v>0.25</v>
      </c>
      <c r="E1083" s="325" t="s">
        <v>747</v>
      </c>
      <c r="F1083" s="325">
        <v>0.16</v>
      </c>
      <c r="G1083" s="324">
        <v>0.1</v>
      </c>
    </row>
    <row r="1084" spans="1:7" x14ac:dyDescent="0.3">
      <c r="A1084" s="326" t="s">
        <v>782</v>
      </c>
      <c r="B1084" s="325">
        <v>54871</v>
      </c>
      <c r="C1084" s="325">
        <v>0.3</v>
      </c>
      <c r="D1084" s="325">
        <v>0.25</v>
      </c>
      <c r="E1084" s="325" t="s">
        <v>747</v>
      </c>
      <c r="F1084" s="325">
        <v>7.0000000000000007E-2</v>
      </c>
      <c r="G1084" s="324">
        <v>0.04</v>
      </c>
    </row>
    <row r="1085" spans="1:7" x14ac:dyDescent="0.3">
      <c r="A1085" s="326" t="s">
        <v>781</v>
      </c>
      <c r="B1085" s="325">
        <v>15407</v>
      </c>
      <c r="C1085" s="325">
        <v>0.2</v>
      </c>
      <c r="D1085" s="325">
        <v>0.2</v>
      </c>
      <c r="E1085" s="325" t="s">
        <v>719</v>
      </c>
      <c r="F1085" s="325">
        <v>0.09</v>
      </c>
      <c r="G1085" s="324">
        <v>0.05</v>
      </c>
    </row>
    <row r="1086" spans="1:7" x14ac:dyDescent="0.3">
      <c r="A1086" s="326" t="s">
        <v>780</v>
      </c>
      <c r="B1086" s="325">
        <v>54874</v>
      </c>
      <c r="C1086" s="325">
        <v>0.35</v>
      </c>
      <c r="D1086" s="325">
        <v>0.3</v>
      </c>
      <c r="E1086" s="325" t="s">
        <v>747</v>
      </c>
      <c r="F1086" s="325">
        <v>0.25</v>
      </c>
      <c r="G1086" s="324">
        <v>0.1</v>
      </c>
    </row>
    <row r="1087" spans="1:7" x14ac:dyDescent="0.3">
      <c r="A1087" s="326" t="s">
        <v>779</v>
      </c>
      <c r="B1087" s="325">
        <v>19845</v>
      </c>
      <c r="C1087" s="325">
        <v>0.25</v>
      </c>
      <c r="D1087" s="325">
        <v>0.2</v>
      </c>
      <c r="E1087" s="325" t="s">
        <v>747</v>
      </c>
      <c r="F1087" s="325">
        <v>0.14000000000000001</v>
      </c>
      <c r="G1087" s="324">
        <v>0.08</v>
      </c>
    </row>
    <row r="1088" spans="1:7" x14ac:dyDescent="0.3">
      <c r="A1088" s="326" t="s">
        <v>778</v>
      </c>
      <c r="B1088" s="325">
        <v>86885</v>
      </c>
      <c r="C1088" s="325">
        <v>0.3</v>
      </c>
      <c r="D1088" s="325">
        <v>0.25</v>
      </c>
      <c r="E1088" s="325" t="s">
        <v>747</v>
      </c>
      <c r="F1088" s="325">
        <v>0.08</v>
      </c>
      <c r="G1088" s="324">
        <v>0.05</v>
      </c>
    </row>
    <row r="1089" spans="1:7" x14ac:dyDescent="0.3">
      <c r="A1089" s="326" t="s">
        <v>777</v>
      </c>
      <c r="B1089" s="325">
        <v>25871</v>
      </c>
      <c r="C1089" s="325">
        <v>0.15</v>
      </c>
      <c r="D1089" s="325">
        <v>0.15</v>
      </c>
      <c r="E1089" s="325" t="s">
        <v>719</v>
      </c>
      <c r="F1089" s="325">
        <v>0.11</v>
      </c>
      <c r="G1089" s="324">
        <v>0.06</v>
      </c>
    </row>
    <row r="1090" spans="1:7" x14ac:dyDescent="0.3">
      <c r="A1090" s="326" t="s">
        <v>776</v>
      </c>
      <c r="B1090" s="325">
        <v>73870</v>
      </c>
      <c r="C1090" s="325">
        <v>0.2</v>
      </c>
      <c r="D1090" s="325">
        <v>0.2</v>
      </c>
      <c r="E1090" s="325" t="s">
        <v>719</v>
      </c>
      <c r="F1090" s="325">
        <v>0.15</v>
      </c>
      <c r="G1090" s="324">
        <v>0.08</v>
      </c>
    </row>
    <row r="1091" spans="1:7" x14ac:dyDescent="0.3">
      <c r="A1091" s="326" t="s">
        <v>775</v>
      </c>
      <c r="B1091" s="325">
        <v>17873</v>
      </c>
      <c r="C1091" s="325">
        <v>0.25</v>
      </c>
      <c r="D1091" s="325">
        <v>0.25</v>
      </c>
      <c r="E1091" s="325" t="s">
        <v>747</v>
      </c>
      <c r="F1091" s="325">
        <v>0.18</v>
      </c>
      <c r="G1091" s="324">
        <v>0.09</v>
      </c>
    </row>
    <row r="1092" spans="1:7" x14ac:dyDescent="0.3">
      <c r="A1092" s="326" t="s">
        <v>774</v>
      </c>
      <c r="B1092" s="325">
        <v>68872</v>
      </c>
      <c r="C1092" s="325">
        <v>0.2</v>
      </c>
      <c r="D1092" s="325">
        <v>0.25</v>
      </c>
      <c r="E1092" s="325" t="s">
        <v>747</v>
      </c>
      <c r="F1092" s="325">
        <v>0.11</v>
      </c>
      <c r="G1092" s="324">
        <v>7.0000000000000007E-2</v>
      </c>
    </row>
    <row r="1093" spans="1:7" x14ac:dyDescent="0.3">
      <c r="A1093" s="326" t="s">
        <v>774</v>
      </c>
      <c r="B1093" s="325">
        <v>13873</v>
      </c>
      <c r="C1093" s="325">
        <v>0.1</v>
      </c>
      <c r="D1093" s="325">
        <v>0.1</v>
      </c>
      <c r="E1093" s="325" t="s">
        <v>743</v>
      </c>
      <c r="F1093" s="325">
        <v>0.05</v>
      </c>
      <c r="G1093" s="324">
        <v>0.03</v>
      </c>
    </row>
    <row r="1094" spans="1:7" x14ac:dyDescent="0.3">
      <c r="A1094" s="326" t="s">
        <v>774</v>
      </c>
      <c r="B1094" s="325">
        <v>44874</v>
      </c>
      <c r="C1094" s="325">
        <v>0.1</v>
      </c>
      <c r="D1094" s="325">
        <v>0.1</v>
      </c>
      <c r="E1094" s="325" t="s">
        <v>743</v>
      </c>
      <c r="F1094" s="325">
        <v>0.05</v>
      </c>
      <c r="G1094" s="324">
        <v>0.03</v>
      </c>
    </row>
    <row r="1095" spans="1:7" x14ac:dyDescent="0.3">
      <c r="A1095" s="326" t="s">
        <v>774</v>
      </c>
      <c r="B1095" s="325">
        <v>85440</v>
      </c>
      <c r="C1095" s="325">
        <v>0.2</v>
      </c>
      <c r="D1095" s="325">
        <v>0.2</v>
      </c>
      <c r="E1095" s="325" t="s">
        <v>719</v>
      </c>
      <c r="F1095" s="325">
        <v>0.06</v>
      </c>
      <c r="G1095" s="324">
        <v>0.03</v>
      </c>
    </row>
    <row r="1096" spans="1:7" x14ac:dyDescent="0.3">
      <c r="A1096" s="326" t="s">
        <v>773</v>
      </c>
      <c r="B1096" s="325">
        <v>25873</v>
      </c>
      <c r="C1096" s="325">
        <v>0.2</v>
      </c>
      <c r="D1096" s="325">
        <v>0.2</v>
      </c>
      <c r="E1096" s="325" t="s">
        <v>719</v>
      </c>
      <c r="F1096" s="325">
        <v>0.11</v>
      </c>
      <c r="G1096" s="324">
        <v>0.05</v>
      </c>
    </row>
    <row r="1097" spans="1:7" x14ac:dyDescent="0.3">
      <c r="A1097" s="326" t="s">
        <v>772</v>
      </c>
      <c r="B1097" s="325">
        <v>73873</v>
      </c>
      <c r="C1097" s="325">
        <v>0.25</v>
      </c>
      <c r="D1097" s="325">
        <v>0.2</v>
      </c>
      <c r="E1097" s="325" t="s">
        <v>747</v>
      </c>
      <c r="F1097" s="325">
        <v>0.09</v>
      </c>
      <c r="G1097" s="324">
        <v>0.05</v>
      </c>
    </row>
    <row r="1098" spans="1:7" x14ac:dyDescent="0.3">
      <c r="A1098" s="326" t="s">
        <v>771</v>
      </c>
      <c r="B1098" s="325">
        <v>50001</v>
      </c>
      <c r="C1098" s="325">
        <v>0.35</v>
      </c>
      <c r="D1098" s="325">
        <v>0.3</v>
      </c>
      <c r="E1098" s="325" t="s">
        <v>747</v>
      </c>
      <c r="F1098" s="325">
        <v>0.2</v>
      </c>
      <c r="G1098" s="324">
        <v>7.0000000000000007E-2</v>
      </c>
    </row>
    <row r="1099" spans="1:7" x14ac:dyDescent="0.3">
      <c r="A1099" s="326" t="s">
        <v>770</v>
      </c>
      <c r="B1099" s="325">
        <v>41872</v>
      </c>
      <c r="C1099" s="325">
        <v>0.25</v>
      </c>
      <c r="D1099" s="325">
        <v>0.25</v>
      </c>
      <c r="E1099" s="325" t="s">
        <v>747</v>
      </c>
      <c r="F1099" s="325">
        <v>0.19</v>
      </c>
      <c r="G1099" s="324">
        <v>7.0000000000000007E-2</v>
      </c>
    </row>
    <row r="1100" spans="1:7" x14ac:dyDescent="0.3">
      <c r="A1100" s="326" t="s">
        <v>769</v>
      </c>
      <c r="B1100" s="325">
        <v>25875</v>
      </c>
      <c r="C1100" s="325">
        <v>0.15</v>
      </c>
      <c r="D1100" s="325">
        <v>0.2</v>
      </c>
      <c r="E1100" s="325" t="s">
        <v>719</v>
      </c>
      <c r="F1100" s="325">
        <v>0.17</v>
      </c>
      <c r="G1100" s="324">
        <v>0.06</v>
      </c>
    </row>
    <row r="1101" spans="1:7" x14ac:dyDescent="0.3">
      <c r="A1101" s="326" t="s">
        <v>768</v>
      </c>
      <c r="B1101" s="325">
        <v>25878</v>
      </c>
      <c r="C1101" s="325">
        <v>0.2</v>
      </c>
      <c r="D1101" s="325">
        <v>0.2</v>
      </c>
      <c r="E1101" s="325" t="s">
        <v>719</v>
      </c>
      <c r="F1101" s="325">
        <v>0.1</v>
      </c>
      <c r="G1101" s="324">
        <v>0.05</v>
      </c>
    </row>
    <row r="1102" spans="1:7" x14ac:dyDescent="0.3">
      <c r="A1102" s="326" t="s">
        <v>767</v>
      </c>
      <c r="B1102" s="325">
        <v>15879</v>
      </c>
      <c r="C1102" s="325">
        <v>0.2</v>
      </c>
      <c r="D1102" s="325">
        <v>0.25</v>
      </c>
      <c r="E1102" s="325" t="s">
        <v>747</v>
      </c>
      <c r="F1102" s="325">
        <v>0.16</v>
      </c>
      <c r="G1102" s="324">
        <v>0.08</v>
      </c>
    </row>
    <row r="1103" spans="1:7" x14ac:dyDescent="0.3">
      <c r="A1103" s="326" t="s">
        <v>766</v>
      </c>
      <c r="B1103" s="325">
        <v>50711</v>
      </c>
      <c r="C1103" s="325">
        <v>0.05</v>
      </c>
      <c r="D1103" s="325">
        <v>0.15</v>
      </c>
      <c r="E1103" s="325" t="s">
        <v>719</v>
      </c>
      <c r="F1103" s="325">
        <v>0.04</v>
      </c>
      <c r="G1103" s="324">
        <v>0.02</v>
      </c>
    </row>
    <row r="1104" spans="1:7" x14ac:dyDescent="0.3">
      <c r="A1104" s="326" t="s">
        <v>765</v>
      </c>
      <c r="B1104" s="325">
        <v>17877</v>
      </c>
      <c r="C1104" s="325">
        <v>0.25</v>
      </c>
      <c r="D1104" s="325">
        <v>0.3</v>
      </c>
      <c r="E1104" s="325" t="s">
        <v>747</v>
      </c>
      <c r="F1104" s="325">
        <v>0.23</v>
      </c>
      <c r="G1104" s="324">
        <v>0.1</v>
      </c>
    </row>
    <row r="1105" spans="1:7" x14ac:dyDescent="0.3">
      <c r="A1105" s="326" t="s">
        <v>764</v>
      </c>
      <c r="B1105" s="325">
        <v>25885</v>
      </c>
      <c r="C1105" s="325">
        <v>0.15</v>
      </c>
      <c r="D1105" s="325">
        <v>0.15</v>
      </c>
      <c r="E1105" s="325" t="s">
        <v>719</v>
      </c>
      <c r="F1105" s="325">
        <v>0.15</v>
      </c>
      <c r="G1105" s="324">
        <v>0.06</v>
      </c>
    </row>
    <row r="1106" spans="1:7" x14ac:dyDescent="0.3">
      <c r="A1106" s="326" t="s">
        <v>763</v>
      </c>
      <c r="B1106" s="325">
        <v>52885</v>
      </c>
      <c r="C1106" s="325">
        <v>0.25</v>
      </c>
      <c r="D1106" s="325">
        <v>0.25</v>
      </c>
      <c r="E1106" s="325" t="s">
        <v>747</v>
      </c>
      <c r="F1106" s="325">
        <v>0.11</v>
      </c>
      <c r="G1106" s="324">
        <v>7.0000000000000007E-2</v>
      </c>
    </row>
    <row r="1107" spans="1:7" x14ac:dyDescent="0.3">
      <c r="A1107" s="326" t="s">
        <v>762</v>
      </c>
      <c r="B1107" s="325">
        <v>41885</v>
      </c>
      <c r="C1107" s="325">
        <v>0.25</v>
      </c>
      <c r="D1107" s="325">
        <v>0.2</v>
      </c>
      <c r="E1107" s="325" t="s">
        <v>747</v>
      </c>
      <c r="F1107" s="325">
        <v>0.19</v>
      </c>
      <c r="G1107" s="324">
        <v>0.08</v>
      </c>
    </row>
    <row r="1108" spans="1:7" x14ac:dyDescent="0.3">
      <c r="A1108" s="326" t="s">
        <v>761</v>
      </c>
      <c r="B1108" s="325">
        <v>5885</v>
      </c>
      <c r="C1108" s="325">
        <v>0.15</v>
      </c>
      <c r="D1108" s="325">
        <v>0.2</v>
      </c>
      <c r="E1108" s="325" t="s">
        <v>719</v>
      </c>
      <c r="F1108" s="325">
        <v>0.09</v>
      </c>
      <c r="G1108" s="324">
        <v>0.05</v>
      </c>
    </row>
    <row r="1109" spans="1:7" x14ac:dyDescent="0.3">
      <c r="A1109" s="326" t="s">
        <v>760</v>
      </c>
      <c r="B1109" s="325">
        <v>5887</v>
      </c>
      <c r="C1109" s="325">
        <v>0.15</v>
      </c>
      <c r="D1109" s="325">
        <v>0.2</v>
      </c>
      <c r="E1109" s="325" t="s">
        <v>719</v>
      </c>
      <c r="F1109" s="325">
        <v>0.09</v>
      </c>
      <c r="G1109" s="324">
        <v>0.05</v>
      </c>
    </row>
    <row r="1110" spans="1:7" x14ac:dyDescent="0.3">
      <c r="A1110" s="326" t="s">
        <v>759</v>
      </c>
      <c r="B1110" s="325">
        <v>97889</v>
      </c>
      <c r="C1110" s="325">
        <v>0.05</v>
      </c>
      <c r="D1110" s="325">
        <v>0.05</v>
      </c>
      <c r="E1110" s="325" t="s">
        <v>743</v>
      </c>
      <c r="F1110" s="325">
        <v>0.04</v>
      </c>
      <c r="G1110" s="324">
        <v>0.02</v>
      </c>
    </row>
    <row r="1111" spans="1:7" x14ac:dyDescent="0.3">
      <c r="A1111" s="326" t="s">
        <v>758</v>
      </c>
      <c r="B1111" s="325">
        <v>5890</v>
      </c>
      <c r="C1111" s="325">
        <v>0.15</v>
      </c>
      <c r="D1111" s="325">
        <v>0.2</v>
      </c>
      <c r="E1111" s="325" t="s">
        <v>719</v>
      </c>
      <c r="F1111" s="325">
        <v>0.08</v>
      </c>
      <c r="G1111" s="324">
        <v>0.04</v>
      </c>
    </row>
    <row r="1112" spans="1:7" x14ac:dyDescent="0.3">
      <c r="A1112" s="326" t="s">
        <v>757</v>
      </c>
      <c r="B1112" s="325">
        <v>5893</v>
      </c>
      <c r="C1112" s="325">
        <v>0.15</v>
      </c>
      <c r="D1112" s="325">
        <v>0.15</v>
      </c>
      <c r="E1112" s="325" t="s">
        <v>719</v>
      </c>
      <c r="F1112" s="325">
        <v>0.06</v>
      </c>
      <c r="G1112" s="324">
        <v>0.04</v>
      </c>
    </row>
    <row r="1113" spans="1:7" x14ac:dyDescent="0.3">
      <c r="A1113" s="326" t="s">
        <v>756</v>
      </c>
      <c r="B1113" s="325">
        <v>85001</v>
      </c>
      <c r="C1113" s="325">
        <v>0.3</v>
      </c>
      <c r="D1113" s="325">
        <v>0.2</v>
      </c>
      <c r="E1113" s="325" t="s">
        <v>747</v>
      </c>
      <c r="F1113" s="325">
        <v>0.15</v>
      </c>
      <c r="G1113" s="324">
        <v>0.06</v>
      </c>
    </row>
    <row r="1114" spans="1:7" x14ac:dyDescent="0.3">
      <c r="A1114" s="326" t="s">
        <v>755</v>
      </c>
      <c r="B1114" s="325">
        <v>76890</v>
      </c>
      <c r="C1114" s="325">
        <v>0.25</v>
      </c>
      <c r="D1114" s="325">
        <v>0.25</v>
      </c>
      <c r="E1114" s="325" t="s">
        <v>747</v>
      </c>
      <c r="F1114" s="325">
        <v>0.16</v>
      </c>
      <c r="G1114" s="324">
        <v>0.1</v>
      </c>
    </row>
    <row r="1115" spans="1:7" x14ac:dyDescent="0.3">
      <c r="A1115" s="326" t="s">
        <v>754</v>
      </c>
      <c r="B1115" s="325">
        <v>76892</v>
      </c>
      <c r="C1115" s="325">
        <v>0.25</v>
      </c>
      <c r="D1115" s="325">
        <v>0.25</v>
      </c>
      <c r="E1115" s="325" t="s">
        <v>747</v>
      </c>
      <c r="F1115" s="325">
        <v>0.16</v>
      </c>
      <c r="G1115" s="324">
        <v>0.1</v>
      </c>
    </row>
    <row r="1116" spans="1:7" x14ac:dyDescent="0.3">
      <c r="A1116" s="326" t="s">
        <v>753</v>
      </c>
      <c r="B1116" s="325">
        <v>13894</v>
      </c>
      <c r="C1116" s="325">
        <v>0.1</v>
      </c>
      <c r="D1116" s="325">
        <v>0.1</v>
      </c>
      <c r="E1116" s="325" t="s">
        <v>743</v>
      </c>
      <c r="F1116" s="325">
        <v>0.06</v>
      </c>
      <c r="G1116" s="324">
        <v>0.03</v>
      </c>
    </row>
    <row r="1117" spans="1:7" x14ac:dyDescent="0.3">
      <c r="A1117" s="326" t="s">
        <v>752</v>
      </c>
      <c r="B1117" s="325">
        <v>68895</v>
      </c>
      <c r="C1117" s="325">
        <v>0.2</v>
      </c>
      <c r="D1117" s="325">
        <v>0.2</v>
      </c>
      <c r="E1117" s="325" t="s">
        <v>719</v>
      </c>
      <c r="F1117" s="325">
        <v>0.2</v>
      </c>
      <c r="G1117" s="324">
        <v>0.1</v>
      </c>
    </row>
    <row r="1118" spans="1:7" x14ac:dyDescent="0.3">
      <c r="A1118" s="326" t="s">
        <v>751</v>
      </c>
      <c r="B1118" s="325">
        <v>47960</v>
      </c>
      <c r="C1118" s="325">
        <v>0.1</v>
      </c>
      <c r="D1118" s="325">
        <v>0.1</v>
      </c>
      <c r="E1118" s="325" t="s">
        <v>743</v>
      </c>
      <c r="F1118" s="325">
        <v>0.04</v>
      </c>
      <c r="G1118" s="324">
        <v>0.02</v>
      </c>
    </row>
    <row r="1119" spans="1:7" x14ac:dyDescent="0.3">
      <c r="A1119" s="326" t="s">
        <v>750</v>
      </c>
      <c r="B1119" s="325">
        <v>5895</v>
      </c>
      <c r="C1119" s="325">
        <v>0.15</v>
      </c>
      <c r="D1119" s="325">
        <v>0.2</v>
      </c>
      <c r="E1119" s="325" t="s">
        <v>719</v>
      </c>
      <c r="F1119" s="325">
        <v>0.05</v>
      </c>
      <c r="G1119" s="324">
        <v>0.03</v>
      </c>
    </row>
    <row r="1120" spans="1:7" x14ac:dyDescent="0.3">
      <c r="A1120" s="326" t="s">
        <v>749</v>
      </c>
      <c r="B1120" s="325">
        <v>76895</v>
      </c>
      <c r="C1120" s="325">
        <v>0.25</v>
      </c>
      <c r="D1120" s="325">
        <v>0.25</v>
      </c>
      <c r="E1120" s="325" t="s">
        <v>747</v>
      </c>
      <c r="F1120" s="325">
        <v>0.14000000000000001</v>
      </c>
      <c r="G1120" s="324">
        <v>0.1</v>
      </c>
    </row>
    <row r="1121" spans="1:7" x14ac:dyDescent="0.3">
      <c r="A1121" s="326" t="s">
        <v>748</v>
      </c>
      <c r="B1121" s="325">
        <v>15897</v>
      </c>
      <c r="C1121" s="325">
        <v>0.2</v>
      </c>
      <c r="D1121" s="325">
        <v>0.25</v>
      </c>
      <c r="E1121" s="325" t="s">
        <v>747</v>
      </c>
      <c r="F1121" s="325">
        <v>0.16</v>
      </c>
      <c r="G1121" s="324">
        <v>0.08</v>
      </c>
    </row>
    <row r="1122" spans="1:7" x14ac:dyDescent="0.3">
      <c r="A1122" s="326" t="s">
        <v>746</v>
      </c>
      <c r="B1122" s="325">
        <v>25898</v>
      </c>
      <c r="C1122" s="325">
        <v>0.15</v>
      </c>
      <c r="D1122" s="325">
        <v>0.2</v>
      </c>
      <c r="E1122" s="325" t="s">
        <v>719</v>
      </c>
      <c r="F1122" s="325">
        <v>0.13</v>
      </c>
      <c r="G1122" s="324">
        <v>0.06</v>
      </c>
    </row>
    <row r="1123" spans="1:7" x14ac:dyDescent="0.3">
      <c r="A1123" s="326" t="s">
        <v>745</v>
      </c>
      <c r="B1123" s="325">
        <v>25899</v>
      </c>
      <c r="C1123" s="325">
        <v>0.15</v>
      </c>
      <c r="D1123" s="325">
        <v>0.2</v>
      </c>
      <c r="E1123" s="325" t="s">
        <v>719</v>
      </c>
      <c r="F1123" s="325">
        <v>0.09</v>
      </c>
      <c r="G1123" s="324">
        <v>0.05</v>
      </c>
    </row>
    <row r="1124" spans="1:7" ht="15" thickBot="1" x14ac:dyDescent="0.35">
      <c r="A1124" s="323" t="s">
        <v>744</v>
      </c>
      <c r="B1124" s="322">
        <v>47980</v>
      </c>
      <c r="C1124" s="322">
        <v>0.1</v>
      </c>
      <c r="D1124" s="322">
        <v>0.1</v>
      </c>
      <c r="E1124" s="322" t="s">
        <v>743</v>
      </c>
      <c r="F1124" s="322">
        <v>0.08</v>
      </c>
      <c r="G1124" s="321">
        <v>0.02</v>
      </c>
    </row>
  </sheetData>
  <autoFilter ref="A1:G1124" xr:uid="{8D749584-0E4D-4361-9B56-482DD0F7537C}">
    <sortState xmlns:xlrd2="http://schemas.microsoft.com/office/spreadsheetml/2017/richdata2" ref="A2:G1124">
      <sortCondition ref="A1:A1124"/>
    </sortState>
  </autoFilter>
  <dataConsolidate/>
  <mergeCells count="16">
    <mergeCell ref="I21:K21"/>
    <mergeCell ref="K19:L19"/>
    <mergeCell ref="J2:L2"/>
    <mergeCell ref="K9:L9"/>
    <mergeCell ref="K12:L12"/>
    <mergeCell ref="K13:L13"/>
    <mergeCell ref="K15:L15"/>
    <mergeCell ref="K17:L17"/>
    <mergeCell ref="K18:L18"/>
    <mergeCell ref="K4:L4"/>
    <mergeCell ref="K5:L5"/>
    <mergeCell ref="K6:L6"/>
    <mergeCell ref="K7:L7"/>
    <mergeCell ref="K8:L8"/>
    <mergeCell ref="K14:L14"/>
    <mergeCell ref="K16:L16"/>
  </mergeCells>
  <dataValidations count="3">
    <dataValidation type="textLength" allowBlank="1" showInputMessage="1" showErrorMessage="1" sqref="A1038:A1124 A2:A1036 L10:L11 L3 K20:L20 J22:L33 K34:L1140 J34:J42 J44:J1140 J3:K19" xr:uid="{EC284109-C8D4-4249-99D1-BB3086706896}">
      <formula1>0</formula1>
      <formula2>100</formula2>
    </dataValidation>
    <dataValidation type="list" allowBlank="1" showInputMessage="1" showErrorMessage="1" sqref="I43" xr:uid="{3A393918-02E9-4C32-85D7-95D8FE66880E}">
      <formula1>$I$23:$I$41</formula1>
    </dataValidation>
    <dataValidation type="list" allowBlank="1" showInputMessage="1" showErrorMessage="1" sqref="J43" xr:uid="{034DFF6B-E353-48D2-8710-6A0B7831055B}">
      <formula1>INDIRECT(I43)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00B050"/>
  </sheetPr>
  <dimension ref="A1:L242"/>
  <sheetViews>
    <sheetView topLeftCell="B1" zoomScaleNormal="100" workbookViewId="0">
      <selection activeCell="M45" sqref="M45"/>
    </sheetView>
  </sheetViews>
  <sheetFormatPr baseColWidth="10" defaultRowHeight="13.2" x14ac:dyDescent="0.25"/>
  <cols>
    <col min="4" max="4" width="14.88671875" customWidth="1"/>
  </cols>
  <sheetData>
    <row r="1" spans="1:12" x14ac:dyDescent="0.25">
      <c r="A1" t="s">
        <v>54</v>
      </c>
      <c r="B1" t="s">
        <v>55</v>
      </c>
    </row>
    <row r="2" spans="1:12" ht="18" customHeight="1" x14ac:dyDescent="0.25">
      <c r="A2" s="41">
        <v>0</v>
      </c>
      <c r="B2" s="55">
        <f t="shared" ref="B2:B65" si="0">IF(A2&lt;=$E$33,2.5*$E$21*$E$27*$H$15,IF(AND(A2&gt;$E$33,A2&lt;=$E$34),1.2*$E$24*$E$30*$H$15/A2,1.2*$E$24*$E$30*$E$34*$H$15/(A2^2)))</f>
        <v>0.89999999999999991</v>
      </c>
      <c r="D2" s="7" t="s">
        <v>1785</v>
      </c>
      <c r="F2" s="7" t="s">
        <v>1818</v>
      </c>
      <c r="G2" s="7"/>
      <c r="H2" s="7" t="s">
        <v>1820</v>
      </c>
    </row>
    <row r="3" spans="1:12" x14ac:dyDescent="0.25">
      <c r="A3" s="41">
        <f t="shared" ref="A3:A66" si="1">+A2+0.025</f>
        <v>2.5000000000000001E-2</v>
      </c>
      <c r="B3" s="55">
        <f t="shared" si="0"/>
        <v>0.89999999999999991</v>
      </c>
      <c r="D3" s="340" t="s">
        <v>1149</v>
      </c>
      <c r="F3" s="340">
        <v>16</v>
      </c>
      <c r="H3" s="340">
        <v>37.799999999999997</v>
      </c>
      <c r="I3" s="505"/>
      <c r="J3" s="505"/>
      <c r="K3" s="505"/>
      <c r="L3" s="505"/>
    </row>
    <row r="4" spans="1:12" x14ac:dyDescent="0.25">
      <c r="A4" s="41">
        <f t="shared" si="1"/>
        <v>0.05</v>
      </c>
      <c r="B4" s="55">
        <f t="shared" si="0"/>
        <v>0.89999999999999991</v>
      </c>
      <c r="G4" s="289"/>
    </row>
    <row r="5" spans="1:12" x14ac:dyDescent="0.25">
      <c r="A5" s="41">
        <f t="shared" si="1"/>
        <v>7.5000000000000011E-2</v>
      </c>
      <c r="B5" s="55">
        <f t="shared" si="0"/>
        <v>0.89999999999999991</v>
      </c>
      <c r="D5" t="s">
        <v>1786</v>
      </c>
      <c r="G5" s="289"/>
    </row>
    <row r="6" spans="1:12" x14ac:dyDescent="0.25">
      <c r="A6" s="41">
        <f t="shared" si="1"/>
        <v>0.1</v>
      </c>
      <c r="B6" s="55">
        <f t="shared" si="0"/>
        <v>0.89999999999999991</v>
      </c>
      <c r="D6" s="502" t="s">
        <v>1771</v>
      </c>
      <c r="E6" s="503"/>
      <c r="F6" s="503"/>
      <c r="G6" s="504"/>
    </row>
    <row r="7" spans="1:12" x14ac:dyDescent="0.25">
      <c r="A7" s="41">
        <f t="shared" si="1"/>
        <v>0.125</v>
      </c>
      <c r="B7" s="55">
        <f t="shared" si="0"/>
        <v>0.89999999999999991</v>
      </c>
      <c r="I7" s="280" t="s">
        <v>1821</v>
      </c>
    </row>
    <row r="8" spans="1:12" x14ac:dyDescent="0.25">
      <c r="A8" s="41">
        <f t="shared" si="1"/>
        <v>0.15</v>
      </c>
      <c r="B8" s="55">
        <f t="shared" si="0"/>
        <v>0.89999999999999991</v>
      </c>
      <c r="D8" t="s">
        <v>1829</v>
      </c>
      <c r="I8" s="227">
        <f>+VLOOKUP(D9,TABLAS!N9:P17,2,FALSE)</f>
        <v>5</v>
      </c>
    </row>
    <row r="9" spans="1:12" x14ac:dyDescent="0.25">
      <c r="A9" s="41">
        <f t="shared" si="1"/>
        <v>0.17499999999999999</v>
      </c>
      <c r="B9" s="55">
        <f t="shared" si="0"/>
        <v>0.89999999999999991</v>
      </c>
      <c r="D9" s="502" t="s">
        <v>1831</v>
      </c>
      <c r="E9" s="503"/>
      <c r="F9" s="503"/>
      <c r="G9" s="504"/>
      <c r="I9" s="280"/>
    </row>
    <row r="10" spans="1:12" ht="13.8" x14ac:dyDescent="0.3">
      <c r="A10" s="41">
        <f t="shared" si="1"/>
        <v>0.19999999999999998</v>
      </c>
      <c r="B10" s="55">
        <f t="shared" si="0"/>
        <v>0.89999999999999991</v>
      </c>
      <c r="G10" s="289"/>
      <c r="I10" s="353" t="s">
        <v>1832</v>
      </c>
    </row>
    <row r="11" spans="1:12" x14ac:dyDescent="0.25">
      <c r="A11" s="41">
        <f t="shared" si="1"/>
        <v>0.22499999999999998</v>
      </c>
      <c r="B11" s="55">
        <f t="shared" si="0"/>
        <v>0.89999999999999991</v>
      </c>
      <c r="D11" s="7" t="s">
        <v>720</v>
      </c>
      <c r="E11" s="7"/>
      <c r="F11" s="2"/>
      <c r="I11" s="227">
        <f>+VLOOKUP(D9,TABLAS!N9:P17,3,FALSE)</f>
        <v>2.5</v>
      </c>
    </row>
    <row r="12" spans="1:12" x14ac:dyDescent="0.25">
      <c r="A12" s="41">
        <f t="shared" si="1"/>
        <v>0.24999999999999997</v>
      </c>
      <c r="B12" s="55">
        <f t="shared" si="0"/>
        <v>0.89999999999999991</v>
      </c>
      <c r="D12" s="340" t="s">
        <v>43</v>
      </c>
      <c r="E12" s="420" t="s">
        <v>1908</v>
      </c>
      <c r="F12" s="1"/>
    </row>
    <row r="13" spans="1:12" x14ac:dyDescent="0.25">
      <c r="A13" s="41">
        <f t="shared" si="1"/>
        <v>0.27499999999999997</v>
      </c>
      <c r="B13" s="55">
        <f t="shared" si="0"/>
        <v>0.89999999999999991</v>
      </c>
      <c r="D13" s="274"/>
      <c r="E13" s="274"/>
      <c r="F13" s="1"/>
    </row>
    <row r="14" spans="1:12" x14ac:dyDescent="0.25">
      <c r="A14" s="41">
        <f t="shared" si="1"/>
        <v>0.3</v>
      </c>
      <c r="B14" s="55">
        <f t="shared" si="0"/>
        <v>0.89999999999999991</v>
      </c>
      <c r="D14" s="7" t="s">
        <v>40</v>
      </c>
      <c r="E14" s="7"/>
      <c r="F14" s="39"/>
    </row>
    <row r="15" spans="1:12" x14ac:dyDescent="0.25">
      <c r="A15" s="41">
        <f t="shared" si="1"/>
        <v>0.32500000000000001</v>
      </c>
      <c r="B15" s="55">
        <f t="shared" si="0"/>
        <v>0.89999999999999991</v>
      </c>
      <c r="D15" s="502" t="s">
        <v>65</v>
      </c>
      <c r="E15" s="503"/>
      <c r="F15" s="503"/>
      <c r="G15" s="504"/>
      <c r="H15" s="295">
        <f>+INDEX(TABLAS!$S$27:$S$30,MATCH($D$15,TABLAS!$T$27:$T$30,0),1)</f>
        <v>1</v>
      </c>
      <c r="I15" s="13" t="s">
        <v>42</v>
      </c>
    </row>
    <row r="16" spans="1:12" x14ac:dyDescent="0.25">
      <c r="A16" s="41">
        <f t="shared" si="1"/>
        <v>0.35000000000000003</v>
      </c>
      <c r="B16" s="55">
        <f t="shared" si="0"/>
        <v>0.89999999999999991</v>
      </c>
    </row>
    <row r="17" spans="1:11" x14ac:dyDescent="0.25">
      <c r="A17" s="41">
        <f t="shared" si="1"/>
        <v>0.37500000000000006</v>
      </c>
      <c r="B17" s="55">
        <f t="shared" si="0"/>
        <v>0.89999999999999991</v>
      </c>
      <c r="D17" s="7" t="s">
        <v>171</v>
      </c>
    </row>
    <row r="18" spans="1:11" x14ac:dyDescent="0.25">
      <c r="A18" s="41">
        <f t="shared" si="1"/>
        <v>0.40000000000000008</v>
      </c>
      <c r="B18" s="55">
        <f t="shared" si="0"/>
        <v>0.89999999999999991</v>
      </c>
      <c r="D18" s="289" t="str">
        <f>VLOOKUP(D3,TABLAS!A2:G1124,5,FALSE)</f>
        <v>Alta</v>
      </c>
    </row>
    <row r="19" spans="1:11" x14ac:dyDescent="0.25">
      <c r="A19" s="41">
        <f t="shared" si="1"/>
        <v>0.4250000000000001</v>
      </c>
      <c r="B19" s="55">
        <f t="shared" si="0"/>
        <v>0.89999999999999991</v>
      </c>
    </row>
    <row r="20" spans="1:11" x14ac:dyDescent="0.25">
      <c r="A20" s="41">
        <f t="shared" si="1"/>
        <v>0.45000000000000012</v>
      </c>
      <c r="B20" s="55">
        <f t="shared" si="0"/>
        <v>0.89999999999999991</v>
      </c>
      <c r="D20" s="7" t="s">
        <v>132</v>
      </c>
      <c r="E20" s="7"/>
      <c r="F20" s="2"/>
    </row>
    <row r="21" spans="1:11" x14ac:dyDescent="0.25">
      <c r="A21" s="41">
        <f t="shared" si="1"/>
        <v>0.47500000000000014</v>
      </c>
      <c r="B21" s="55">
        <f t="shared" si="0"/>
        <v>0.89999999999999991</v>
      </c>
      <c r="D21" s="40" t="s">
        <v>5</v>
      </c>
      <c r="E21" s="14">
        <f>VLOOKUP(D3,TABLAS!A2:G1124,3,FALSE)</f>
        <v>0.25</v>
      </c>
      <c r="F21" s="10"/>
    </row>
    <row r="22" spans="1:11" x14ac:dyDescent="0.25">
      <c r="A22" s="41">
        <f t="shared" si="1"/>
        <v>0.50000000000000011</v>
      </c>
      <c r="B22" s="55">
        <f t="shared" si="0"/>
        <v>0.89999999999999991</v>
      </c>
    </row>
    <row r="23" spans="1:11" x14ac:dyDescent="0.25">
      <c r="A23" s="41">
        <f t="shared" si="1"/>
        <v>0.52500000000000013</v>
      </c>
      <c r="B23" s="55">
        <f t="shared" si="0"/>
        <v>0.89999999999999991</v>
      </c>
      <c r="D23" s="7" t="s">
        <v>133</v>
      </c>
    </row>
    <row r="24" spans="1:11" x14ac:dyDescent="0.25">
      <c r="A24" s="41">
        <f t="shared" si="1"/>
        <v>0.55000000000000016</v>
      </c>
      <c r="B24" s="55">
        <f t="shared" si="0"/>
        <v>0.89999999999999991</v>
      </c>
      <c r="D24" s="40" t="s">
        <v>37</v>
      </c>
      <c r="E24" s="14">
        <f>VLOOKUP(D3,TABLAS!A2:G1124,4,FALSE)</f>
        <v>0.25</v>
      </c>
      <c r="F24" s="10"/>
    </row>
    <row r="25" spans="1:11" x14ac:dyDescent="0.25">
      <c r="A25" s="41">
        <f t="shared" si="1"/>
        <v>0.57500000000000018</v>
      </c>
      <c r="B25" s="55">
        <f t="shared" si="0"/>
        <v>0.89999999999999991</v>
      </c>
    </row>
    <row r="26" spans="1:11" x14ac:dyDescent="0.25">
      <c r="A26" s="41">
        <f t="shared" si="1"/>
        <v>0.6000000000000002</v>
      </c>
      <c r="B26" s="55">
        <f t="shared" si="0"/>
        <v>0.89999999999999991</v>
      </c>
      <c r="D26" s="10" t="s">
        <v>44</v>
      </c>
      <c r="E26" s="5"/>
      <c r="F26" s="1"/>
    </row>
    <row r="27" spans="1:11" ht="15" x14ac:dyDescent="0.25">
      <c r="A27" s="41">
        <f t="shared" si="1"/>
        <v>0.62500000000000022</v>
      </c>
      <c r="B27" s="55">
        <f t="shared" si="0"/>
        <v>0.89999999999999991</v>
      </c>
      <c r="D27" s="40" t="s">
        <v>45</v>
      </c>
      <c r="E27">
        <v>1.44</v>
      </c>
      <c r="F27" s="157" t="s">
        <v>1951</v>
      </c>
    </row>
    <row r="28" spans="1:11" x14ac:dyDescent="0.25">
      <c r="A28" s="41">
        <f t="shared" si="1"/>
        <v>0.65000000000000024</v>
      </c>
      <c r="B28" s="55">
        <f t="shared" si="0"/>
        <v>0.89999999999999991</v>
      </c>
      <c r="F28" s="273"/>
    </row>
    <row r="29" spans="1:11" x14ac:dyDescent="0.25">
      <c r="A29" s="41">
        <f t="shared" si="1"/>
        <v>0.67500000000000027</v>
      </c>
      <c r="B29" s="55">
        <f t="shared" si="0"/>
        <v>0.89999999999999991</v>
      </c>
      <c r="D29" s="157" t="s">
        <v>1819</v>
      </c>
      <c r="F29" s="273"/>
    </row>
    <row r="30" spans="1:11" ht="15" x14ac:dyDescent="0.25">
      <c r="A30" s="41">
        <f t="shared" si="1"/>
        <v>0.70000000000000029</v>
      </c>
      <c r="B30" s="55">
        <f t="shared" si="0"/>
        <v>0.89999999999999991</v>
      </c>
      <c r="D30" s="40" t="s">
        <v>47</v>
      </c>
      <c r="E30">
        <v>2.4</v>
      </c>
      <c r="F30" s="157" t="s">
        <v>1951</v>
      </c>
    </row>
    <row r="31" spans="1:11" x14ac:dyDescent="0.25">
      <c r="A31" s="41">
        <f t="shared" si="1"/>
        <v>0.72500000000000031</v>
      </c>
      <c r="B31" s="55">
        <f t="shared" si="0"/>
        <v>0.89999999999999991</v>
      </c>
    </row>
    <row r="32" spans="1:11" ht="15.6" x14ac:dyDescent="0.25">
      <c r="A32" s="41">
        <f t="shared" si="1"/>
        <v>0.75000000000000033</v>
      </c>
      <c r="B32" s="55">
        <f t="shared" si="0"/>
        <v>0.89999999999999991</v>
      </c>
      <c r="D32" s="13" t="s">
        <v>21</v>
      </c>
      <c r="E32" s="42">
        <f>0.1*(E24*E30)/(E21*E27)</f>
        <v>0.16666666666666666</v>
      </c>
      <c r="F32" s="1"/>
      <c r="K32" s="43"/>
    </row>
    <row r="33" spans="1:11" x14ac:dyDescent="0.25">
      <c r="A33" s="41">
        <f t="shared" si="1"/>
        <v>0.77500000000000036</v>
      </c>
      <c r="B33" s="55">
        <f t="shared" si="0"/>
        <v>0.89999999999999991</v>
      </c>
      <c r="D33" s="13" t="s">
        <v>11</v>
      </c>
      <c r="E33" s="42">
        <f>0.48*(E24*E30)/(E21*E27)</f>
        <v>0.79999999999999993</v>
      </c>
      <c r="F33" s="1"/>
      <c r="K33" s="43"/>
    </row>
    <row r="34" spans="1:11" ht="15.6" x14ac:dyDescent="0.25">
      <c r="A34" s="41">
        <f t="shared" si="1"/>
        <v>0.80000000000000038</v>
      </c>
      <c r="B34" s="55">
        <f t="shared" si="0"/>
        <v>0.89999999999999991</v>
      </c>
      <c r="D34" s="13" t="s">
        <v>22</v>
      </c>
      <c r="E34" s="42">
        <f>2.4*E30</f>
        <v>5.76</v>
      </c>
      <c r="F34" s="1"/>
      <c r="K34" s="43"/>
    </row>
    <row r="35" spans="1:11" x14ac:dyDescent="0.25">
      <c r="A35" s="41">
        <f t="shared" si="1"/>
        <v>0.8250000000000004</v>
      </c>
      <c r="B35" s="55">
        <f t="shared" si="0"/>
        <v>0.87272727272727224</v>
      </c>
      <c r="D35" s="8"/>
      <c r="E35" s="1"/>
      <c r="F35" s="1"/>
      <c r="K35" s="43"/>
    </row>
    <row r="36" spans="1:11" x14ac:dyDescent="0.25">
      <c r="A36" s="41">
        <f t="shared" si="1"/>
        <v>0.85000000000000042</v>
      </c>
      <c r="B36" s="55">
        <f t="shared" si="0"/>
        <v>0.84705882352941131</v>
      </c>
      <c r="D36" s="8" t="s">
        <v>6</v>
      </c>
      <c r="E36" s="1"/>
      <c r="F36" s="1"/>
      <c r="K36" s="43"/>
    </row>
    <row r="37" spans="1:11" x14ac:dyDescent="0.25">
      <c r="A37" s="41">
        <f t="shared" si="1"/>
        <v>0.87500000000000044</v>
      </c>
      <c r="B37" s="55">
        <f t="shared" si="0"/>
        <v>0.8228571428571424</v>
      </c>
      <c r="D37" s="8"/>
      <c r="E37" s="1"/>
      <c r="F37" s="1"/>
      <c r="K37" s="43"/>
    </row>
    <row r="38" spans="1:11" ht="15.6" x14ac:dyDescent="0.25">
      <c r="A38" s="41">
        <f t="shared" si="1"/>
        <v>0.90000000000000047</v>
      </c>
      <c r="B38" s="55">
        <f t="shared" si="0"/>
        <v>0.7999999999999996</v>
      </c>
      <c r="D38" s="10" t="s">
        <v>48</v>
      </c>
      <c r="E38" s="5"/>
      <c r="F38" s="5"/>
      <c r="G38" s="43"/>
      <c r="H38" s="43"/>
      <c r="I38" s="43"/>
      <c r="J38" s="43"/>
    </row>
    <row r="39" spans="1:11" x14ac:dyDescent="0.25">
      <c r="A39" s="41">
        <f t="shared" si="1"/>
        <v>0.92500000000000049</v>
      </c>
      <c r="B39" s="55">
        <f t="shared" si="0"/>
        <v>0.77837837837837798</v>
      </c>
      <c r="D39" s="10" t="s">
        <v>49</v>
      </c>
      <c r="E39" s="5"/>
      <c r="F39" s="5"/>
      <c r="G39" s="43"/>
      <c r="H39" s="43"/>
      <c r="I39" s="43"/>
      <c r="J39" s="43"/>
    </row>
    <row r="40" spans="1:11" ht="15.6" x14ac:dyDescent="0.35">
      <c r="A40" s="41">
        <f t="shared" si="1"/>
        <v>0.95000000000000051</v>
      </c>
      <c r="B40" s="55">
        <f t="shared" si="0"/>
        <v>0.75789473684210484</v>
      </c>
      <c r="D40" s="44" t="s">
        <v>50</v>
      </c>
      <c r="E40" s="43"/>
      <c r="F40" s="43"/>
      <c r="G40" s="43"/>
      <c r="H40" s="43"/>
      <c r="I40" s="43"/>
      <c r="J40" s="43"/>
      <c r="K40" s="70"/>
    </row>
    <row r="41" spans="1:11" x14ac:dyDescent="0.25">
      <c r="A41" s="41">
        <f t="shared" si="1"/>
        <v>0.97500000000000053</v>
      </c>
      <c r="B41" s="55">
        <f t="shared" si="0"/>
        <v>0.73846153846153806</v>
      </c>
      <c r="D41" s="44" t="s">
        <v>51</v>
      </c>
      <c r="E41" s="43"/>
      <c r="F41" s="43"/>
      <c r="G41" s="43"/>
      <c r="H41" s="43"/>
      <c r="I41" s="43"/>
      <c r="J41" s="43"/>
      <c r="K41" s="70"/>
    </row>
    <row r="42" spans="1:11" ht="15.6" x14ac:dyDescent="0.25">
      <c r="A42" s="41">
        <f t="shared" si="1"/>
        <v>1.0000000000000004</v>
      </c>
      <c r="B42" s="55">
        <f t="shared" si="0"/>
        <v>0.71999999999999964</v>
      </c>
      <c r="D42" s="10" t="s">
        <v>23</v>
      </c>
      <c r="E42" s="5"/>
      <c r="F42" s="5"/>
      <c r="G42" s="43"/>
      <c r="H42" s="43"/>
      <c r="I42" s="43"/>
      <c r="J42" s="43"/>
      <c r="K42" s="70"/>
    </row>
    <row r="43" spans="1:11" x14ac:dyDescent="0.25">
      <c r="A43" s="41">
        <f t="shared" si="1"/>
        <v>1.0250000000000004</v>
      </c>
      <c r="B43" s="55">
        <f t="shared" si="0"/>
        <v>0.70243902439024364</v>
      </c>
      <c r="D43" s="10" t="s">
        <v>12</v>
      </c>
      <c r="E43" s="5"/>
      <c r="F43" s="5"/>
      <c r="G43" s="43"/>
      <c r="H43" s="43"/>
      <c r="I43" s="43"/>
      <c r="J43" s="43"/>
      <c r="K43" s="70"/>
    </row>
    <row r="44" spans="1:11" x14ac:dyDescent="0.25">
      <c r="A44" s="41">
        <f t="shared" si="1"/>
        <v>1.0500000000000003</v>
      </c>
      <c r="B44" s="55">
        <f t="shared" si="0"/>
        <v>0.6857142857142855</v>
      </c>
      <c r="K44" s="70"/>
    </row>
    <row r="45" spans="1:11" x14ac:dyDescent="0.25">
      <c r="A45" s="41">
        <f t="shared" si="1"/>
        <v>1.0750000000000002</v>
      </c>
      <c r="B45" s="55">
        <f t="shared" si="0"/>
        <v>0.669767441860465</v>
      </c>
      <c r="D45" s="167" t="s">
        <v>698</v>
      </c>
      <c r="E45" s="75"/>
      <c r="F45" s="75"/>
      <c r="K45" s="70"/>
    </row>
    <row r="46" spans="1:11" x14ac:dyDescent="0.25">
      <c r="A46" s="41">
        <f t="shared" si="1"/>
        <v>1.1000000000000001</v>
      </c>
      <c r="B46" s="55">
        <f t="shared" si="0"/>
        <v>0.65454545454545443</v>
      </c>
      <c r="D46" s="501" t="s">
        <v>697</v>
      </c>
      <c r="E46" s="501"/>
      <c r="F46" s="501"/>
      <c r="G46" s="501"/>
      <c r="H46" s="70"/>
      <c r="I46" s="70"/>
      <c r="J46" s="70"/>
      <c r="K46" s="70"/>
    </row>
    <row r="47" spans="1:11" x14ac:dyDescent="0.25">
      <c r="A47" s="41">
        <f t="shared" si="1"/>
        <v>1.125</v>
      </c>
      <c r="B47" s="55">
        <f t="shared" si="0"/>
        <v>0.64</v>
      </c>
      <c r="G47" s="70"/>
      <c r="H47" s="70"/>
      <c r="I47" s="70"/>
      <c r="J47" s="70"/>
      <c r="K47" s="70"/>
    </row>
    <row r="48" spans="1:11" x14ac:dyDescent="0.25">
      <c r="A48" s="41">
        <f t="shared" si="1"/>
        <v>1.1499999999999999</v>
      </c>
      <c r="B48" s="55">
        <f t="shared" si="0"/>
        <v>0.62608695652173918</v>
      </c>
      <c r="D48" s="289" t="s">
        <v>695</v>
      </c>
      <c r="E48" s="289">
        <f>+VLOOKUP(D6,TABLAS!N2:P6,2,FALSE)</f>
        <v>4.9000000000000002E-2</v>
      </c>
      <c r="F48" s="289"/>
      <c r="G48" s="70"/>
      <c r="H48" s="70"/>
      <c r="I48" s="70"/>
      <c r="J48" s="70"/>
      <c r="K48" s="70"/>
    </row>
    <row r="49" spans="1:11" x14ac:dyDescent="0.25">
      <c r="A49" s="41">
        <f t="shared" si="1"/>
        <v>1.1749999999999998</v>
      </c>
      <c r="B49" s="55">
        <f t="shared" si="0"/>
        <v>0.61276595744680862</v>
      </c>
      <c r="D49" s="289" t="s">
        <v>696</v>
      </c>
      <c r="E49" s="289">
        <f>+VLOOKUP(D6,TABLAS!N2:P6,3,FALSE)</f>
        <v>0.75</v>
      </c>
      <c r="F49" s="289"/>
      <c r="G49" s="70"/>
      <c r="H49" s="70"/>
      <c r="I49" s="70"/>
      <c r="J49" s="70"/>
      <c r="K49" s="70"/>
    </row>
    <row r="50" spans="1:11" x14ac:dyDescent="0.25">
      <c r="A50" s="41">
        <f t="shared" si="1"/>
        <v>1.1999999999999997</v>
      </c>
      <c r="B50" s="55">
        <f t="shared" si="0"/>
        <v>0.60000000000000009</v>
      </c>
      <c r="D50" s="75" t="s">
        <v>691</v>
      </c>
      <c r="E50" s="75"/>
      <c r="F50" s="75"/>
      <c r="G50" s="70"/>
      <c r="H50" s="70"/>
      <c r="I50" s="70"/>
      <c r="J50" s="70"/>
      <c r="K50" s="70"/>
    </row>
    <row r="51" spans="1:11" x14ac:dyDescent="0.25">
      <c r="A51" s="41">
        <f t="shared" si="1"/>
        <v>1.2249999999999996</v>
      </c>
      <c r="B51" s="55">
        <f t="shared" si="0"/>
        <v>0.58775510204081649</v>
      </c>
      <c r="D51" s="75" t="s">
        <v>692</v>
      </c>
      <c r="E51" s="227">
        <f>+H3</f>
        <v>37.799999999999997</v>
      </c>
      <c r="F51" s="289" t="s">
        <v>409</v>
      </c>
      <c r="G51" s="70"/>
      <c r="H51" s="70"/>
      <c r="I51" s="70"/>
      <c r="J51" s="70"/>
      <c r="K51" s="70"/>
    </row>
    <row r="52" spans="1:11" x14ac:dyDescent="0.25">
      <c r="A52" s="41">
        <f t="shared" si="1"/>
        <v>1.2499999999999996</v>
      </c>
      <c r="B52" s="55">
        <f t="shared" si="0"/>
        <v>0.57600000000000018</v>
      </c>
      <c r="D52" s="289" t="s">
        <v>693</v>
      </c>
      <c r="E52" s="290">
        <f>+E48*E51^E49</f>
        <v>0.74699024420408944</v>
      </c>
      <c r="F52" s="289" t="s">
        <v>694</v>
      </c>
      <c r="G52" s="70"/>
      <c r="H52" s="70"/>
      <c r="I52" s="70"/>
      <c r="J52" s="70"/>
      <c r="K52" s="70"/>
    </row>
    <row r="53" spans="1:11" x14ac:dyDescent="0.25">
      <c r="A53" s="41">
        <f t="shared" si="1"/>
        <v>1.2749999999999995</v>
      </c>
      <c r="B53" s="55">
        <f t="shared" si="0"/>
        <v>0.56470588235294139</v>
      </c>
      <c r="D53" s="289"/>
      <c r="E53" s="289"/>
      <c r="F53" s="289"/>
      <c r="G53" s="70"/>
      <c r="H53" s="70"/>
      <c r="I53" s="70"/>
      <c r="J53" s="70"/>
      <c r="K53" s="70"/>
    </row>
    <row r="54" spans="1:11" x14ac:dyDescent="0.25">
      <c r="A54" s="41">
        <f t="shared" si="1"/>
        <v>1.2999999999999994</v>
      </c>
      <c r="B54" s="55">
        <f t="shared" si="0"/>
        <v>0.5538461538461541</v>
      </c>
      <c r="G54" s="70"/>
      <c r="H54" s="70"/>
      <c r="I54" s="70"/>
      <c r="J54" s="70"/>
      <c r="K54" s="70"/>
    </row>
    <row r="55" spans="1:11" x14ac:dyDescent="0.25">
      <c r="A55" s="41">
        <f t="shared" si="1"/>
        <v>1.3249999999999993</v>
      </c>
      <c r="B55" s="55">
        <f t="shared" si="0"/>
        <v>0.54339622641509466</v>
      </c>
      <c r="D55" s="70"/>
      <c r="E55" s="70"/>
      <c r="F55" s="70"/>
      <c r="G55" s="70"/>
      <c r="H55" s="70"/>
      <c r="I55" s="70"/>
      <c r="J55" s="70"/>
      <c r="K55" s="70"/>
    </row>
    <row r="56" spans="1:11" ht="15.6" x14ac:dyDescent="0.3">
      <c r="A56" s="41">
        <f t="shared" si="1"/>
        <v>1.3499999999999992</v>
      </c>
      <c r="B56" s="55">
        <f t="shared" si="0"/>
        <v>0.53333333333333366</v>
      </c>
      <c r="D56" s="85"/>
      <c r="E56" s="72"/>
      <c r="F56" s="84"/>
      <c r="G56" s="500"/>
      <c r="H56" s="500"/>
      <c r="I56" s="500"/>
      <c r="J56" s="500"/>
    </row>
    <row r="57" spans="1:11" x14ac:dyDescent="0.25">
      <c r="A57" s="41">
        <f t="shared" si="1"/>
        <v>1.3749999999999991</v>
      </c>
      <c r="B57" s="55">
        <f t="shared" si="0"/>
        <v>0.52363636363636401</v>
      </c>
      <c r="D57" s="84"/>
      <c r="E57" s="72"/>
      <c r="F57" s="84"/>
      <c r="G57" s="500"/>
      <c r="H57" s="500"/>
      <c r="I57" s="500"/>
      <c r="J57" s="500"/>
    </row>
    <row r="58" spans="1:11" ht="15.6" x14ac:dyDescent="0.3">
      <c r="A58" s="41">
        <f t="shared" si="1"/>
        <v>1.399999999999999</v>
      </c>
      <c r="B58" s="55">
        <f t="shared" si="0"/>
        <v>0.51428571428571468</v>
      </c>
      <c r="D58" s="85"/>
      <c r="E58" s="72"/>
      <c r="F58" s="84"/>
      <c r="G58" s="500"/>
      <c r="H58" s="500"/>
      <c r="I58" s="500"/>
      <c r="J58" s="500"/>
    </row>
    <row r="59" spans="1:11" ht="15.6" x14ac:dyDescent="0.3">
      <c r="A59" s="41">
        <f t="shared" si="1"/>
        <v>1.4249999999999989</v>
      </c>
      <c r="B59" s="55">
        <f t="shared" si="0"/>
        <v>0.50526315789473719</v>
      </c>
      <c r="D59" s="85"/>
      <c r="E59" s="72"/>
      <c r="F59" s="84"/>
      <c r="G59" s="500"/>
      <c r="H59" s="500"/>
      <c r="I59" s="500"/>
      <c r="J59" s="500"/>
    </row>
    <row r="60" spans="1:11" ht="15.6" x14ac:dyDescent="0.3">
      <c r="A60" s="41">
        <f t="shared" si="1"/>
        <v>1.4499999999999988</v>
      </c>
      <c r="B60" s="55">
        <f t="shared" si="0"/>
        <v>0.49655172413793142</v>
      </c>
      <c r="D60" s="85"/>
      <c r="E60" s="72"/>
      <c r="F60" s="84"/>
      <c r="G60" s="500"/>
      <c r="H60" s="500"/>
      <c r="I60" s="500"/>
      <c r="J60" s="500"/>
    </row>
    <row r="61" spans="1:11" ht="15.6" x14ac:dyDescent="0.3">
      <c r="A61" s="41">
        <f t="shared" si="1"/>
        <v>1.4749999999999988</v>
      </c>
      <c r="B61" s="55">
        <f t="shared" si="0"/>
        <v>0.48813559322033939</v>
      </c>
      <c r="D61" s="85"/>
      <c r="E61" s="72"/>
      <c r="F61" s="84"/>
      <c r="G61" s="500"/>
      <c r="H61" s="500"/>
      <c r="I61" s="500"/>
      <c r="J61" s="500"/>
    </row>
    <row r="62" spans="1:11" x14ac:dyDescent="0.25">
      <c r="A62" s="41">
        <f t="shared" si="1"/>
        <v>1.4999999999999987</v>
      </c>
      <c r="B62" s="55">
        <f t="shared" si="0"/>
        <v>0.48000000000000043</v>
      </c>
    </row>
    <row r="63" spans="1:11" x14ac:dyDescent="0.25">
      <c r="A63" s="41">
        <f t="shared" si="1"/>
        <v>1.5249999999999986</v>
      </c>
      <c r="B63" s="55">
        <f t="shared" si="0"/>
        <v>0.47213114754098401</v>
      </c>
    </row>
    <row r="64" spans="1:11" x14ac:dyDescent="0.25">
      <c r="A64" s="41">
        <f t="shared" si="1"/>
        <v>1.5499999999999985</v>
      </c>
      <c r="B64" s="55">
        <f t="shared" si="0"/>
        <v>0.46451612903225847</v>
      </c>
    </row>
    <row r="65" spans="1:2" x14ac:dyDescent="0.25">
      <c r="A65" s="41">
        <f t="shared" si="1"/>
        <v>1.5749999999999984</v>
      </c>
      <c r="B65" s="55">
        <f t="shared" si="0"/>
        <v>0.45714285714285757</v>
      </c>
    </row>
    <row r="66" spans="1:2" x14ac:dyDescent="0.25">
      <c r="A66" s="41">
        <f t="shared" si="1"/>
        <v>1.5999999999999983</v>
      </c>
      <c r="B66" s="55">
        <f t="shared" ref="B66:B129" si="2">IF(A66&lt;=$E$33,2.5*$E$21*$E$27*$H$15,IF(AND(A66&gt;$E$33,A66&lt;=$E$34),1.2*$E$24*$E$30*$H$15/A66,1.2*$E$24*$E$30*$E$34*$H$15/(A66^2)))</f>
        <v>0.45000000000000046</v>
      </c>
    </row>
    <row r="67" spans="1:2" x14ac:dyDescent="0.25">
      <c r="A67" s="41">
        <f t="shared" ref="A67:A130" si="3">+A66+0.025</f>
        <v>1.6249999999999982</v>
      </c>
      <c r="B67" s="55">
        <f t="shared" si="2"/>
        <v>0.44307692307692353</v>
      </c>
    </row>
    <row r="68" spans="1:2" x14ac:dyDescent="0.25">
      <c r="A68" s="41">
        <f t="shared" si="3"/>
        <v>1.6499999999999981</v>
      </c>
      <c r="B68" s="55">
        <f t="shared" si="2"/>
        <v>0.43636363636363684</v>
      </c>
    </row>
    <row r="69" spans="1:2" x14ac:dyDescent="0.25">
      <c r="A69" s="41">
        <f t="shared" si="3"/>
        <v>1.674999999999998</v>
      </c>
      <c r="B69" s="55">
        <f t="shared" si="2"/>
        <v>0.42985074626865721</v>
      </c>
    </row>
    <row r="70" spans="1:2" x14ac:dyDescent="0.25">
      <c r="A70" s="41">
        <f t="shared" si="3"/>
        <v>1.699999999999998</v>
      </c>
      <c r="B70" s="55">
        <f t="shared" si="2"/>
        <v>0.42352941176470638</v>
      </c>
    </row>
    <row r="71" spans="1:2" x14ac:dyDescent="0.25">
      <c r="A71" s="41">
        <f t="shared" si="3"/>
        <v>1.7249999999999979</v>
      </c>
      <c r="B71" s="55">
        <f t="shared" si="2"/>
        <v>0.41739130434782656</v>
      </c>
    </row>
    <row r="72" spans="1:2" x14ac:dyDescent="0.25">
      <c r="A72" s="41">
        <f t="shared" si="3"/>
        <v>1.7499999999999978</v>
      </c>
      <c r="B72" s="55">
        <f t="shared" si="2"/>
        <v>0.41142857142857192</v>
      </c>
    </row>
    <row r="73" spans="1:2" x14ac:dyDescent="0.25">
      <c r="A73" s="41">
        <f t="shared" si="3"/>
        <v>1.7749999999999977</v>
      </c>
      <c r="B73" s="55">
        <f t="shared" si="2"/>
        <v>0.40563380281690192</v>
      </c>
    </row>
    <row r="74" spans="1:2" x14ac:dyDescent="0.25">
      <c r="A74" s="41">
        <f t="shared" si="3"/>
        <v>1.7999999999999976</v>
      </c>
      <c r="B74" s="55">
        <f t="shared" si="2"/>
        <v>0.40000000000000052</v>
      </c>
    </row>
    <row r="75" spans="1:2" x14ac:dyDescent="0.25">
      <c r="A75" s="41">
        <f t="shared" si="3"/>
        <v>1.8249999999999975</v>
      </c>
      <c r="B75" s="55">
        <f t="shared" si="2"/>
        <v>0.39452054794520602</v>
      </c>
    </row>
    <row r="76" spans="1:2" x14ac:dyDescent="0.25">
      <c r="A76" s="41">
        <f t="shared" si="3"/>
        <v>1.8499999999999974</v>
      </c>
      <c r="B76" s="55">
        <f t="shared" si="2"/>
        <v>0.38918918918918971</v>
      </c>
    </row>
    <row r="77" spans="1:2" x14ac:dyDescent="0.25">
      <c r="A77" s="41">
        <f t="shared" si="3"/>
        <v>1.8749999999999973</v>
      </c>
      <c r="B77" s="55">
        <f t="shared" si="2"/>
        <v>0.38400000000000051</v>
      </c>
    </row>
    <row r="78" spans="1:2" x14ac:dyDescent="0.25">
      <c r="A78" s="41">
        <f t="shared" si="3"/>
        <v>1.8999999999999972</v>
      </c>
      <c r="B78" s="55">
        <f t="shared" si="2"/>
        <v>0.37894736842105314</v>
      </c>
    </row>
    <row r="79" spans="1:2" x14ac:dyDescent="0.25">
      <c r="A79" s="41">
        <f t="shared" si="3"/>
        <v>1.9249999999999972</v>
      </c>
      <c r="B79" s="55">
        <f t="shared" si="2"/>
        <v>0.37402597402597454</v>
      </c>
    </row>
    <row r="80" spans="1:2" x14ac:dyDescent="0.25">
      <c r="A80" s="41">
        <f t="shared" si="3"/>
        <v>1.9499999999999971</v>
      </c>
      <c r="B80" s="55">
        <f t="shared" si="2"/>
        <v>0.36923076923076975</v>
      </c>
    </row>
    <row r="81" spans="1:2" x14ac:dyDescent="0.25">
      <c r="A81" s="41">
        <f t="shared" si="3"/>
        <v>1.974999999999997</v>
      </c>
      <c r="B81" s="55">
        <f t="shared" si="2"/>
        <v>0.36455696202531701</v>
      </c>
    </row>
    <row r="82" spans="1:2" x14ac:dyDescent="0.25">
      <c r="A82" s="41">
        <f t="shared" si="3"/>
        <v>1.9999999999999969</v>
      </c>
      <c r="B82" s="55">
        <f t="shared" si="2"/>
        <v>0.36000000000000054</v>
      </c>
    </row>
    <row r="83" spans="1:2" x14ac:dyDescent="0.25">
      <c r="A83" s="41">
        <f t="shared" si="3"/>
        <v>2.0249999999999968</v>
      </c>
      <c r="B83" s="55">
        <f t="shared" si="2"/>
        <v>0.35555555555555612</v>
      </c>
    </row>
    <row r="84" spans="1:2" x14ac:dyDescent="0.25">
      <c r="A84" s="41">
        <f t="shared" si="3"/>
        <v>2.0499999999999967</v>
      </c>
      <c r="B84" s="55">
        <f t="shared" si="2"/>
        <v>0.35121951219512249</v>
      </c>
    </row>
    <row r="85" spans="1:2" x14ac:dyDescent="0.25">
      <c r="A85" s="41">
        <f t="shared" si="3"/>
        <v>2.0749999999999966</v>
      </c>
      <c r="B85" s="55">
        <f t="shared" si="2"/>
        <v>0.34698795180722947</v>
      </c>
    </row>
    <row r="86" spans="1:2" x14ac:dyDescent="0.25">
      <c r="A86" s="41">
        <f t="shared" si="3"/>
        <v>2.0999999999999965</v>
      </c>
      <c r="B86" s="55">
        <f t="shared" si="2"/>
        <v>0.34285714285714342</v>
      </c>
    </row>
    <row r="87" spans="1:2" x14ac:dyDescent="0.25">
      <c r="A87" s="41">
        <f t="shared" si="3"/>
        <v>2.1249999999999964</v>
      </c>
      <c r="B87" s="55">
        <f t="shared" si="2"/>
        <v>0.33882352941176525</v>
      </c>
    </row>
    <row r="88" spans="1:2" x14ac:dyDescent="0.25">
      <c r="A88" s="41">
        <f t="shared" si="3"/>
        <v>2.1499999999999964</v>
      </c>
      <c r="B88" s="55">
        <f t="shared" si="2"/>
        <v>0.33488372093023311</v>
      </c>
    </row>
    <row r="89" spans="1:2" x14ac:dyDescent="0.25">
      <c r="A89" s="41">
        <f t="shared" si="3"/>
        <v>2.1749999999999963</v>
      </c>
      <c r="B89" s="55">
        <f t="shared" si="2"/>
        <v>0.33103448275862124</v>
      </c>
    </row>
    <row r="90" spans="1:2" x14ac:dyDescent="0.25">
      <c r="A90" s="41">
        <f t="shared" si="3"/>
        <v>2.1999999999999962</v>
      </c>
      <c r="B90" s="55">
        <f t="shared" si="2"/>
        <v>0.32727272727272783</v>
      </c>
    </row>
    <row r="91" spans="1:2" x14ac:dyDescent="0.25">
      <c r="A91" s="41">
        <f t="shared" si="3"/>
        <v>2.2249999999999961</v>
      </c>
      <c r="B91" s="55">
        <f t="shared" si="2"/>
        <v>0.32359550561797806</v>
      </c>
    </row>
    <row r="92" spans="1:2" x14ac:dyDescent="0.25">
      <c r="A92" s="41">
        <f t="shared" si="3"/>
        <v>2.249999999999996</v>
      </c>
      <c r="B92" s="55">
        <f t="shared" si="2"/>
        <v>0.32000000000000056</v>
      </c>
    </row>
    <row r="93" spans="1:2" x14ac:dyDescent="0.25">
      <c r="A93" s="41">
        <f t="shared" si="3"/>
        <v>2.2749999999999959</v>
      </c>
      <c r="B93" s="55">
        <f t="shared" si="2"/>
        <v>0.31648351648351702</v>
      </c>
    </row>
    <row r="94" spans="1:2" x14ac:dyDescent="0.25">
      <c r="A94" s="41">
        <f t="shared" si="3"/>
        <v>2.2999999999999958</v>
      </c>
      <c r="B94" s="55">
        <f t="shared" si="2"/>
        <v>0.31304347826087014</v>
      </c>
    </row>
    <row r="95" spans="1:2" x14ac:dyDescent="0.25">
      <c r="A95" s="41">
        <f t="shared" si="3"/>
        <v>2.3249999999999957</v>
      </c>
      <c r="B95" s="55">
        <f t="shared" si="2"/>
        <v>0.30967741935483928</v>
      </c>
    </row>
    <row r="96" spans="1:2" x14ac:dyDescent="0.25">
      <c r="A96" s="41">
        <f t="shared" si="3"/>
        <v>2.3499999999999956</v>
      </c>
      <c r="B96" s="55">
        <f t="shared" si="2"/>
        <v>0.30638297872340481</v>
      </c>
    </row>
    <row r="97" spans="1:2" x14ac:dyDescent="0.25">
      <c r="A97" s="41">
        <f t="shared" si="3"/>
        <v>2.3749999999999956</v>
      </c>
      <c r="B97" s="55">
        <f t="shared" si="2"/>
        <v>0.30315789473684268</v>
      </c>
    </row>
    <row r="98" spans="1:2" x14ac:dyDescent="0.25">
      <c r="A98" s="41">
        <f t="shared" si="3"/>
        <v>2.3999999999999955</v>
      </c>
      <c r="B98" s="55">
        <f t="shared" si="2"/>
        <v>0.30000000000000054</v>
      </c>
    </row>
    <row r="99" spans="1:2" x14ac:dyDescent="0.25">
      <c r="A99" s="41">
        <f t="shared" si="3"/>
        <v>2.4249999999999954</v>
      </c>
      <c r="B99" s="55">
        <f t="shared" si="2"/>
        <v>0.29690721649484592</v>
      </c>
    </row>
    <row r="100" spans="1:2" x14ac:dyDescent="0.25">
      <c r="A100" s="41">
        <f t="shared" si="3"/>
        <v>2.4499999999999953</v>
      </c>
      <c r="B100" s="55">
        <f t="shared" si="2"/>
        <v>0.29387755102040869</v>
      </c>
    </row>
    <row r="101" spans="1:2" x14ac:dyDescent="0.25">
      <c r="A101" s="41">
        <f t="shared" si="3"/>
        <v>2.4749999999999952</v>
      </c>
      <c r="B101" s="55">
        <f t="shared" si="2"/>
        <v>0.29090909090909145</v>
      </c>
    </row>
    <row r="102" spans="1:2" x14ac:dyDescent="0.25">
      <c r="A102" s="41">
        <f t="shared" si="3"/>
        <v>2.4999999999999951</v>
      </c>
      <c r="B102" s="55">
        <f t="shared" si="2"/>
        <v>0.28800000000000053</v>
      </c>
    </row>
    <row r="103" spans="1:2" x14ac:dyDescent="0.25">
      <c r="A103" s="41">
        <f t="shared" si="3"/>
        <v>2.524999999999995</v>
      </c>
      <c r="B103" s="55">
        <f t="shared" si="2"/>
        <v>0.28514851485148568</v>
      </c>
    </row>
    <row r="104" spans="1:2" x14ac:dyDescent="0.25">
      <c r="A104" s="41">
        <f t="shared" si="3"/>
        <v>2.5499999999999949</v>
      </c>
      <c r="B104" s="55">
        <f t="shared" si="2"/>
        <v>0.28235294117647114</v>
      </c>
    </row>
    <row r="105" spans="1:2" x14ac:dyDescent="0.25">
      <c r="A105" s="41">
        <f t="shared" si="3"/>
        <v>2.5749999999999948</v>
      </c>
      <c r="B105" s="55">
        <f t="shared" si="2"/>
        <v>0.27961165048543746</v>
      </c>
    </row>
    <row r="106" spans="1:2" x14ac:dyDescent="0.25">
      <c r="A106" s="41">
        <f t="shared" si="3"/>
        <v>2.5999999999999948</v>
      </c>
      <c r="B106" s="55">
        <f t="shared" si="2"/>
        <v>0.27692307692307749</v>
      </c>
    </row>
    <row r="107" spans="1:2" x14ac:dyDescent="0.25">
      <c r="A107" s="41">
        <f t="shared" si="3"/>
        <v>2.6249999999999947</v>
      </c>
      <c r="B107" s="55">
        <f t="shared" si="2"/>
        <v>0.27428571428571485</v>
      </c>
    </row>
    <row r="108" spans="1:2" x14ac:dyDescent="0.25">
      <c r="A108" s="41">
        <f t="shared" si="3"/>
        <v>2.6499999999999946</v>
      </c>
      <c r="B108" s="55">
        <f t="shared" si="2"/>
        <v>0.27169811320754772</v>
      </c>
    </row>
    <row r="109" spans="1:2" x14ac:dyDescent="0.25">
      <c r="A109" s="41">
        <f t="shared" si="3"/>
        <v>2.6749999999999945</v>
      </c>
      <c r="B109" s="55">
        <f t="shared" si="2"/>
        <v>0.26915887850467346</v>
      </c>
    </row>
    <row r="110" spans="1:2" x14ac:dyDescent="0.25">
      <c r="A110" s="41">
        <f t="shared" si="3"/>
        <v>2.6999999999999944</v>
      </c>
      <c r="B110" s="55">
        <f t="shared" si="2"/>
        <v>0.26666666666666722</v>
      </c>
    </row>
    <row r="111" spans="1:2" x14ac:dyDescent="0.25">
      <c r="A111" s="41">
        <f t="shared" si="3"/>
        <v>2.7249999999999943</v>
      </c>
      <c r="B111" s="55">
        <f t="shared" si="2"/>
        <v>0.26422018348623905</v>
      </c>
    </row>
    <row r="112" spans="1:2" x14ac:dyDescent="0.25">
      <c r="A112" s="41">
        <f t="shared" si="3"/>
        <v>2.7499999999999942</v>
      </c>
      <c r="B112" s="55">
        <f t="shared" si="2"/>
        <v>0.26181818181818234</v>
      </c>
    </row>
    <row r="113" spans="1:2" x14ac:dyDescent="0.25">
      <c r="A113" s="41">
        <f t="shared" si="3"/>
        <v>2.7749999999999941</v>
      </c>
      <c r="B113" s="55">
        <f t="shared" si="2"/>
        <v>0.25945945945945997</v>
      </c>
    </row>
    <row r="114" spans="1:2" x14ac:dyDescent="0.25">
      <c r="A114" s="41">
        <f t="shared" si="3"/>
        <v>2.799999999999994</v>
      </c>
      <c r="B114" s="55">
        <f t="shared" si="2"/>
        <v>0.25714285714285767</v>
      </c>
    </row>
    <row r="115" spans="1:2" x14ac:dyDescent="0.25">
      <c r="A115" s="41">
        <f t="shared" si="3"/>
        <v>2.824999999999994</v>
      </c>
      <c r="B115" s="55">
        <f t="shared" si="2"/>
        <v>0.25486725663716869</v>
      </c>
    </row>
    <row r="116" spans="1:2" x14ac:dyDescent="0.25">
      <c r="A116" s="41">
        <f t="shared" si="3"/>
        <v>2.8499999999999939</v>
      </c>
      <c r="B116" s="55">
        <f t="shared" si="2"/>
        <v>0.25263157894736893</v>
      </c>
    </row>
    <row r="117" spans="1:2" x14ac:dyDescent="0.25">
      <c r="A117" s="41">
        <f t="shared" si="3"/>
        <v>2.8749999999999938</v>
      </c>
      <c r="B117" s="55">
        <f t="shared" si="2"/>
        <v>0.25043478260869617</v>
      </c>
    </row>
    <row r="118" spans="1:2" x14ac:dyDescent="0.25">
      <c r="A118" s="41">
        <f t="shared" si="3"/>
        <v>2.8999999999999937</v>
      </c>
      <c r="B118" s="55">
        <f t="shared" si="2"/>
        <v>0.24827586206896604</v>
      </c>
    </row>
    <row r="119" spans="1:2" x14ac:dyDescent="0.25">
      <c r="A119" s="41">
        <f t="shared" si="3"/>
        <v>2.9249999999999936</v>
      </c>
      <c r="B119" s="55">
        <f t="shared" si="2"/>
        <v>0.24615384615384669</v>
      </c>
    </row>
    <row r="120" spans="1:2" x14ac:dyDescent="0.25">
      <c r="A120" s="41">
        <f t="shared" si="3"/>
        <v>2.9499999999999935</v>
      </c>
      <c r="B120" s="55">
        <f t="shared" si="2"/>
        <v>0.24406779661017003</v>
      </c>
    </row>
    <row r="121" spans="1:2" x14ac:dyDescent="0.25">
      <c r="A121" s="41">
        <f t="shared" si="3"/>
        <v>2.9749999999999934</v>
      </c>
      <c r="B121" s="55">
        <f t="shared" si="2"/>
        <v>0.2420168067226896</v>
      </c>
    </row>
    <row r="122" spans="1:2" x14ac:dyDescent="0.25">
      <c r="A122" s="41">
        <f t="shared" si="3"/>
        <v>2.9999999999999933</v>
      </c>
      <c r="B122" s="55">
        <f t="shared" si="2"/>
        <v>0.24000000000000052</v>
      </c>
    </row>
    <row r="123" spans="1:2" x14ac:dyDescent="0.25">
      <c r="A123" s="41">
        <f t="shared" si="3"/>
        <v>3.0249999999999932</v>
      </c>
      <c r="B123" s="55">
        <f t="shared" si="2"/>
        <v>0.23801652892562036</v>
      </c>
    </row>
    <row r="124" spans="1:2" x14ac:dyDescent="0.25">
      <c r="A124" s="41">
        <f t="shared" si="3"/>
        <v>3.0499999999999932</v>
      </c>
      <c r="B124" s="55">
        <f t="shared" si="2"/>
        <v>0.23606557377049234</v>
      </c>
    </row>
    <row r="125" spans="1:2" x14ac:dyDescent="0.25">
      <c r="A125" s="41">
        <f t="shared" si="3"/>
        <v>3.0749999999999931</v>
      </c>
      <c r="B125" s="55">
        <f t="shared" si="2"/>
        <v>0.23414634146341515</v>
      </c>
    </row>
    <row r="126" spans="1:2" x14ac:dyDescent="0.25">
      <c r="A126" s="41">
        <f t="shared" si="3"/>
        <v>3.099999999999993</v>
      </c>
      <c r="B126" s="55">
        <f t="shared" si="2"/>
        <v>0.23225806451612954</v>
      </c>
    </row>
    <row r="127" spans="1:2" x14ac:dyDescent="0.25">
      <c r="A127" s="41">
        <f t="shared" si="3"/>
        <v>3.1249999999999929</v>
      </c>
      <c r="B127" s="55">
        <f t="shared" si="2"/>
        <v>0.23040000000000052</v>
      </c>
    </row>
    <row r="128" spans="1:2" x14ac:dyDescent="0.25">
      <c r="A128" s="41">
        <f t="shared" si="3"/>
        <v>3.1499999999999928</v>
      </c>
      <c r="B128" s="55">
        <f t="shared" si="2"/>
        <v>0.22857142857142909</v>
      </c>
    </row>
    <row r="129" spans="1:2" x14ac:dyDescent="0.25">
      <c r="A129" s="41">
        <f t="shared" si="3"/>
        <v>3.1749999999999927</v>
      </c>
      <c r="B129" s="55">
        <f t="shared" si="2"/>
        <v>0.22677165354330761</v>
      </c>
    </row>
    <row r="130" spans="1:2" x14ac:dyDescent="0.25">
      <c r="A130" s="41">
        <f t="shared" si="3"/>
        <v>3.1999999999999926</v>
      </c>
      <c r="B130" s="55">
        <f t="shared" ref="B130:B193" si="4">IF(A130&lt;=$E$33,2.5*$E$21*$E$27*$H$15,IF(AND(A130&gt;$E$33,A130&lt;=$E$34),1.2*$E$24*$E$30*$H$15/A130,1.2*$E$24*$E$30*$E$34*$H$15/(A130^2)))</f>
        <v>0.22500000000000051</v>
      </c>
    </row>
    <row r="131" spans="1:2" x14ac:dyDescent="0.25">
      <c r="A131" s="41">
        <f t="shared" ref="A131:A194" si="5">+A130+0.025</f>
        <v>3.2249999999999925</v>
      </c>
      <c r="B131" s="55">
        <f t="shared" si="4"/>
        <v>0.22325581395348887</v>
      </c>
    </row>
    <row r="132" spans="1:2" x14ac:dyDescent="0.25">
      <c r="A132" s="41">
        <f t="shared" si="5"/>
        <v>3.2499999999999925</v>
      </c>
      <c r="B132" s="55">
        <f t="shared" si="4"/>
        <v>0.22153846153846204</v>
      </c>
    </row>
    <row r="133" spans="1:2" x14ac:dyDescent="0.25">
      <c r="A133" s="41">
        <f t="shared" si="5"/>
        <v>3.2749999999999924</v>
      </c>
      <c r="B133" s="55">
        <f t="shared" si="4"/>
        <v>0.2198473282442753</v>
      </c>
    </row>
    <row r="134" spans="1:2" x14ac:dyDescent="0.25">
      <c r="A134" s="41">
        <f t="shared" si="5"/>
        <v>3.2999999999999923</v>
      </c>
      <c r="B134" s="55">
        <f t="shared" si="4"/>
        <v>0.21818181818181867</v>
      </c>
    </row>
    <row r="135" spans="1:2" x14ac:dyDescent="0.25">
      <c r="A135" s="41">
        <f t="shared" si="5"/>
        <v>3.3249999999999922</v>
      </c>
      <c r="B135" s="55">
        <f t="shared" si="4"/>
        <v>0.21654135338345915</v>
      </c>
    </row>
    <row r="136" spans="1:2" x14ac:dyDescent="0.25">
      <c r="A136" s="41">
        <f t="shared" si="5"/>
        <v>3.3499999999999921</v>
      </c>
      <c r="B136" s="55">
        <f t="shared" si="4"/>
        <v>0.21492537313432886</v>
      </c>
    </row>
    <row r="137" spans="1:2" x14ac:dyDescent="0.25">
      <c r="A137" s="41">
        <f t="shared" si="5"/>
        <v>3.374999999999992</v>
      </c>
      <c r="B137" s="55">
        <f t="shared" si="4"/>
        <v>0.21333333333333382</v>
      </c>
    </row>
    <row r="138" spans="1:2" x14ac:dyDescent="0.25">
      <c r="A138" s="41">
        <f t="shared" si="5"/>
        <v>3.3999999999999919</v>
      </c>
      <c r="B138" s="55">
        <f t="shared" si="4"/>
        <v>0.21176470588235344</v>
      </c>
    </row>
    <row r="139" spans="1:2" x14ac:dyDescent="0.25">
      <c r="A139" s="41">
        <f t="shared" si="5"/>
        <v>3.4249999999999918</v>
      </c>
      <c r="B139" s="55">
        <f t="shared" si="4"/>
        <v>0.21021897810219028</v>
      </c>
    </row>
    <row r="140" spans="1:2" x14ac:dyDescent="0.25">
      <c r="A140" s="41">
        <f t="shared" si="5"/>
        <v>3.4499999999999917</v>
      </c>
      <c r="B140" s="55">
        <f t="shared" si="4"/>
        <v>0.20869565217391353</v>
      </c>
    </row>
    <row r="141" spans="1:2" x14ac:dyDescent="0.25">
      <c r="A141" s="41">
        <f t="shared" si="5"/>
        <v>3.4749999999999917</v>
      </c>
      <c r="B141" s="55">
        <f t="shared" si="4"/>
        <v>0.20719424460431704</v>
      </c>
    </row>
    <row r="142" spans="1:2" x14ac:dyDescent="0.25">
      <c r="A142" s="41">
        <f t="shared" si="5"/>
        <v>3.4999999999999916</v>
      </c>
      <c r="B142" s="55">
        <f t="shared" si="4"/>
        <v>0.20571428571428621</v>
      </c>
    </row>
    <row r="143" spans="1:2" x14ac:dyDescent="0.25">
      <c r="A143" s="41">
        <f t="shared" si="5"/>
        <v>3.5249999999999915</v>
      </c>
      <c r="B143" s="55">
        <f t="shared" si="4"/>
        <v>0.20425531914893666</v>
      </c>
    </row>
    <row r="144" spans="1:2" x14ac:dyDescent="0.25">
      <c r="A144" s="41">
        <f t="shared" si="5"/>
        <v>3.5499999999999914</v>
      </c>
      <c r="B144" s="55">
        <f t="shared" si="4"/>
        <v>0.20281690140845118</v>
      </c>
    </row>
    <row r="145" spans="1:2" x14ac:dyDescent="0.25">
      <c r="A145" s="41">
        <f t="shared" si="5"/>
        <v>3.5749999999999913</v>
      </c>
      <c r="B145" s="55">
        <f t="shared" si="4"/>
        <v>0.20139860139860188</v>
      </c>
    </row>
    <row r="146" spans="1:2" x14ac:dyDescent="0.25">
      <c r="A146" s="41">
        <f t="shared" si="5"/>
        <v>3.5999999999999912</v>
      </c>
      <c r="B146" s="55">
        <f t="shared" si="4"/>
        <v>0.20000000000000048</v>
      </c>
    </row>
    <row r="147" spans="1:2" x14ac:dyDescent="0.25">
      <c r="A147" s="41">
        <f t="shared" si="5"/>
        <v>3.6249999999999911</v>
      </c>
      <c r="B147" s="55">
        <f t="shared" si="4"/>
        <v>0.19862068965517291</v>
      </c>
    </row>
    <row r="148" spans="1:2" x14ac:dyDescent="0.25">
      <c r="A148" s="41">
        <f t="shared" si="5"/>
        <v>3.649999999999991</v>
      </c>
      <c r="B148" s="55">
        <f t="shared" si="4"/>
        <v>0.19726027397260321</v>
      </c>
    </row>
    <row r="149" spans="1:2" x14ac:dyDescent="0.25">
      <c r="A149" s="41">
        <f t="shared" si="5"/>
        <v>3.6749999999999909</v>
      </c>
      <c r="B149" s="55">
        <f t="shared" si="4"/>
        <v>0.19591836734693927</v>
      </c>
    </row>
    <row r="150" spans="1:2" x14ac:dyDescent="0.25">
      <c r="A150" s="41">
        <f t="shared" si="5"/>
        <v>3.6999999999999909</v>
      </c>
      <c r="B150" s="55">
        <f t="shared" si="4"/>
        <v>0.19459459459459508</v>
      </c>
    </row>
    <row r="151" spans="1:2" x14ac:dyDescent="0.25">
      <c r="A151" s="41">
        <f t="shared" si="5"/>
        <v>3.7249999999999908</v>
      </c>
      <c r="B151" s="55">
        <f t="shared" si="4"/>
        <v>0.19328859060402731</v>
      </c>
    </row>
    <row r="152" spans="1:2" x14ac:dyDescent="0.25">
      <c r="A152" s="41">
        <f t="shared" si="5"/>
        <v>3.7499999999999907</v>
      </c>
      <c r="B152" s="55">
        <f t="shared" si="4"/>
        <v>0.19200000000000048</v>
      </c>
    </row>
    <row r="153" spans="1:2" x14ac:dyDescent="0.25">
      <c r="A153" s="41">
        <f t="shared" si="5"/>
        <v>3.7749999999999906</v>
      </c>
      <c r="B153" s="55">
        <f t="shared" si="4"/>
        <v>0.19072847682119251</v>
      </c>
    </row>
    <row r="154" spans="1:2" x14ac:dyDescent="0.25">
      <c r="A154" s="41">
        <f t="shared" si="5"/>
        <v>3.7999999999999905</v>
      </c>
      <c r="B154" s="55">
        <f t="shared" si="4"/>
        <v>0.18947368421052679</v>
      </c>
    </row>
    <row r="155" spans="1:2" x14ac:dyDescent="0.25">
      <c r="A155" s="41">
        <f t="shared" si="5"/>
        <v>3.8249999999999904</v>
      </c>
      <c r="B155" s="55">
        <f t="shared" si="4"/>
        <v>0.18823529411764753</v>
      </c>
    </row>
    <row r="156" spans="1:2" x14ac:dyDescent="0.25">
      <c r="A156" s="41">
        <f t="shared" si="5"/>
        <v>3.8499999999999903</v>
      </c>
      <c r="B156" s="55">
        <f t="shared" si="4"/>
        <v>0.18701298701298746</v>
      </c>
    </row>
    <row r="157" spans="1:2" x14ac:dyDescent="0.25">
      <c r="A157" s="41">
        <f t="shared" si="5"/>
        <v>3.8749999999999902</v>
      </c>
      <c r="B157" s="55">
        <f t="shared" si="4"/>
        <v>0.18580645161290368</v>
      </c>
    </row>
    <row r="158" spans="1:2" x14ac:dyDescent="0.25">
      <c r="A158" s="41">
        <f t="shared" si="5"/>
        <v>3.8999999999999901</v>
      </c>
      <c r="B158" s="55">
        <f t="shared" si="4"/>
        <v>0.18461538461538507</v>
      </c>
    </row>
    <row r="159" spans="1:2" x14ac:dyDescent="0.25">
      <c r="A159" s="41">
        <f t="shared" si="5"/>
        <v>3.9249999999999901</v>
      </c>
      <c r="B159" s="55">
        <f t="shared" si="4"/>
        <v>0.18343949044586033</v>
      </c>
    </row>
    <row r="160" spans="1:2" x14ac:dyDescent="0.25">
      <c r="A160" s="41">
        <f t="shared" si="5"/>
        <v>3.94999999999999</v>
      </c>
      <c r="B160" s="55">
        <f t="shared" si="4"/>
        <v>0.18227848101265867</v>
      </c>
    </row>
    <row r="161" spans="1:2" x14ac:dyDescent="0.25">
      <c r="A161" s="41">
        <f t="shared" si="5"/>
        <v>3.9749999999999899</v>
      </c>
      <c r="B161" s="55">
        <f t="shared" si="4"/>
        <v>0.18113207547169857</v>
      </c>
    </row>
    <row r="162" spans="1:2" x14ac:dyDescent="0.25">
      <c r="A162" s="41">
        <f t="shared" si="5"/>
        <v>3.9999999999999898</v>
      </c>
      <c r="B162" s="55">
        <f t="shared" si="4"/>
        <v>0.18000000000000047</v>
      </c>
    </row>
    <row r="163" spans="1:2" x14ac:dyDescent="0.25">
      <c r="A163" s="41">
        <f t="shared" si="5"/>
        <v>4.0249999999999897</v>
      </c>
      <c r="B163" s="55">
        <f t="shared" si="4"/>
        <v>0.17888198757764021</v>
      </c>
    </row>
    <row r="164" spans="1:2" x14ac:dyDescent="0.25">
      <c r="A164" s="41">
        <f t="shared" si="5"/>
        <v>4.0499999999999901</v>
      </c>
      <c r="B164" s="55">
        <f t="shared" si="4"/>
        <v>0.1777777777777782</v>
      </c>
    </row>
    <row r="165" spans="1:2" x14ac:dyDescent="0.25">
      <c r="A165" s="41">
        <f t="shared" si="5"/>
        <v>4.0749999999999904</v>
      </c>
      <c r="B165" s="55">
        <f t="shared" si="4"/>
        <v>0.1766871165644176</v>
      </c>
    </row>
    <row r="166" spans="1:2" x14ac:dyDescent="0.25">
      <c r="A166" s="41">
        <f t="shared" si="5"/>
        <v>4.0999999999999908</v>
      </c>
      <c r="B166" s="55">
        <f t="shared" si="4"/>
        <v>0.17560975609756135</v>
      </c>
    </row>
    <row r="167" spans="1:2" x14ac:dyDescent="0.25">
      <c r="A167" s="41">
        <f t="shared" si="5"/>
        <v>4.1249999999999911</v>
      </c>
      <c r="B167" s="55">
        <f t="shared" si="4"/>
        <v>0.17454545454545492</v>
      </c>
    </row>
    <row r="168" spans="1:2" x14ac:dyDescent="0.25">
      <c r="A168" s="41">
        <f t="shared" si="5"/>
        <v>4.1499999999999915</v>
      </c>
      <c r="B168" s="55">
        <f t="shared" si="4"/>
        <v>0.17349397590361482</v>
      </c>
    </row>
    <row r="169" spans="1:2" x14ac:dyDescent="0.25">
      <c r="A169" s="41">
        <f t="shared" si="5"/>
        <v>4.1749999999999918</v>
      </c>
      <c r="B169" s="55">
        <f t="shared" si="4"/>
        <v>0.17245508982035962</v>
      </c>
    </row>
    <row r="170" spans="1:2" x14ac:dyDescent="0.25">
      <c r="A170" s="41">
        <f t="shared" si="5"/>
        <v>4.1999999999999922</v>
      </c>
      <c r="B170" s="55">
        <f t="shared" si="4"/>
        <v>0.17142857142857174</v>
      </c>
    </row>
    <row r="171" spans="1:2" x14ac:dyDescent="0.25">
      <c r="A171" s="41">
        <f t="shared" si="5"/>
        <v>4.2249999999999925</v>
      </c>
      <c r="B171" s="55">
        <f t="shared" si="4"/>
        <v>0.17041420118343226</v>
      </c>
    </row>
    <row r="172" spans="1:2" x14ac:dyDescent="0.25">
      <c r="A172" s="41">
        <f t="shared" si="5"/>
        <v>4.2499999999999929</v>
      </c>
      <c r="B172" s="55">
        <f t="shared" si="4"/>
        <v>0.16941176470588262</v>
      </c>
    </row>
    <row r="173" spans="1:2" x14ac:dyDescent="0.25">
      <c r="A173" s="41">
        <f t="shared" si="5"/>
        <v>4.2749999999999932</v>
      </c>
      <c r="B173" s="55">
        <f t="shared" si="4"/>
        <v>0.16842105263157919</v>
      </c>
    </row>
    <row r="174" spans="1:2" x14ac:dyDescent="0.25">
      <c r="A174" s="41">
        <f t="shared" si="5"/>
        <v>4.2999999999999936</v>
      </c>
      <c r="B174" s="55">
        <f t="shared" si="4"/>
        <v>0.16744186046511653</v>
      </c>
    </row>
    <row r="175" spans="1:2" x14ac:dyDescent="0.25">
      <c r="A175" s="41">
        <f t="shared" si="5"/>
        <v>4.324999999999994</v>
      </c>
      <c r="B175" s="55">
        <f t="shared" si="4"/>
        <v>0.16647398843930658</v>
      </c>
    </row>
    <row r="176" spans="1:2" x14ac:dyDescent="0.25">
      <c r="A176" s="41">
        <f t="shared" si="5"/>
        <v>4.3499999999999943</v>
      </c>
      <c r="B176" s="55">
        <f t="shared" si="4"/>
        <v>0.16551724137931056</v>
      </c>
    </row>
    <row r="177" spans="1:2" x14ac:dyDescent="0.25">
      <c r="A177" s="41">
        <f t="shared" si="5"/>
        <v>4.3749999999999947</v>
      </c>
      <c r="B177" s="55">
        <f t="shared" si="4"/>
        <v>0.16457142857142876</v>
      </c>
    </row>
    <row r="178" spans="1:2" x14ac:dyDescent="0.25">
      <c r="A178" s="41">
        <f t="shared" si="5"/>
        <v>4.399999999999995</v>
      </c>
      <c r="B178" s="55">
        <f t="shared" si="4"/>
        <v>0.1636363636363638</v>
      </c>
    </row>
    <row r="179" spans="1:2" x14ac:dyDescent="0.25">
      <c r="A179" s="41">
        <f t="shared" si="5"/>
        <v>4.4249999999999954</v>
      </c>
      <c r="B179" s="55">
        <f t="shared" si="4"/>
        <v>0.16271186440677982</v>
      </c>
    </row>
    <row r="180" spans="1:2" x14ac:dyDescent="0.25">
      <c r="A180" s="41">
        <f t="shared" si="5"/>
        <v>4.4499999999999957</v>
      </c>
      <c r="B180" s="55">
        <f t="shared" si="4"/>
        <v>0.16179775280898892</v>
      </c>
    </row>
    <row r="181" spans="1:2" x14ac:dyDescent="0.25">
      <c r="A181" s="41">
        <f t="shared" si="5"/>
        <v>4.4749999999999961</v>
      </c>
      <c r="B181" s="55">
        <f t="shared" si="4"/>
        <v>0.16089385474860349</v>
      </c>
    </row>
    <row r="182" spans="1:2" x14ac:dyDescent="0.25">
      <c r="A182" s="41">
        <f t="shared" si="5"/>
        <v>4.4999999999999964</v>
      </c>
      <c r="B182" s="55">
        <f t="shared" si="4"/>
        <v>0.16000000000000011</v>
      </c>
    </row>
    <row r="183" spans="1:2" x14ac:dyDescent="0.25">
      <c r="A183" s="41">
        <f t="shared" si="5"/>
        <v>4.5249999999999968</v>
      </c>
      <c r="B183" s="55">
        <f t="shared" si="4"/>
        <v>0.15911602209944761</v>
      </c>
    </row>
    <row r="184" spans="1:2" x14ac:dyDescent="0.25">
      <c r="A184" s="41">
        <f t="shared" si="5"/>
        <v>4.5499999999999972</v>
      </c>
      <c r="B184" s="55">
        <f t="shared" si="4"/>
        <v>0.15824175824175835</v>
      </c>
    </row>
    <row r="185" spans="1:2" x14ac:dyDescent="0.25">
      <c r="A185" s="41">
        <f t="shared" si="5"/>
        <v>4.5749999999999975</v>
      </c>
      <c r="B185" s="55">
        <f t="shared" si="4"/>
        <v>0.15737704918032794</v>
      </c>
    </row>
    <row r="186" spans="1:2" x14ac:dyDescent="0.25">
      <c r="A186" s="41">
        <f t="shared" si="5"/>
        <v>4.5999999999999979</v>
      </c>
      <c r="B186" s="55">
        <f t="shared" si="4"/>
        <v>0.15652173913043485</v>
      </c>
    </row>
    <row r="187" spans="1:2" x14ac:dyDescent="0.25">
      <c r="A187" s="41">
        <f t="shared" si="5"/>
        <v>4.6249999999999982</v>
      </c>
      <c r="B187" s="55">
        <f t="shared" si="4"/>
        <v>0.15567567567567572</v>
      </c>
    </row>
    <row r="188" spans="1:2" x14ac:dyDescent="0.25">
      <c r="A188" s="41">
        <f t="shared" si="5"/>
        <v>4.6499999999999986</v>
      </c>
      <c r="B188" s="55">
        <f t="shared" si="4"/>
        <v>0.15483870967741939</v>
      </c>
    </row>
    <row r="189" spans="1:2" x14ac:dyDescent="0.25">
      <c r="A189" s="41">
        <f t="shared" si="5"/>
        <v>4.6749999999999989</v>
      </c>
      <c r="B189" s="55">
        <f t="shared" si="4"/>
        <v>0.15401069518716581</v>
      </c>
    </row>
    <row r="190" spans="1:2" x14ac:dyDescent="0.25">
      <c r="A190" s="41">
        <f t="shared" si="5"/>
        <v>4.6999999999999993</v>
      </c>
      <c r="B190" s="55">
        <f t="shared" si="4"/>
        <v>0.15319148936170215</v>
      </c>
    </row>
    <row r="191" spans="1:2" x14ac:dyDescent="0.25">
      <c r="A191" s="41">
        <f t="shared" si="5"/>
        <v>4.7249999999999996</v>
      </c>
      <c r="B191" s="55">
        <f t="shared" si="4"/>
        <v>0.15238095238095239</v>
      </c>
    </row>
    <row r="192" spans="1:2" x14ac:dyDescent="0.25">
      <c r="A192" s="41">
        <f t="shared" si="5"/>
        <v>4.75</v>
      </c>
      <c r="B192" s="55">
        <f t="shared" si="4"/>
        <v>0.15157894736842104</v>
      </c>
    </row>
    <row r="193" spans="1:2" x14ac:dyDescent="0.25">
      <c r="A193" s="41">
        <f t="shared" si="5"/>
        <v>4.7750000000000004</v>
      </c>
      <c r="B193" s="55">
        <f t="shared" si="4"/>
        <v>0.1507853403141361</v>
      </c>
    </row>
    <row r="194" spans="1:2" x14ac:dyDescent="0.25">
      <c r="A194" s="41">
        <f t="shared" si="5"/>
        <v>4.8000000000000007</v>
      </c>
      <c r="B194" s="55">
        <f t="shared" ref="B194:B242" si="6">IF(A194&lt;=$E$33,2.5*$E$21*$E$27*$H$15,IF(AND(A194&gt;$E$33,A194&lt;=$E$34),1.2*$E$24*$E$30*$H$15/A194,1.2*$E$24*$E$30*$E$34*$H$15/(A194^2)))</f>
        <v>0.14999999999999997</v>
      </c>
    </row>
    <row r="195" spans="1:2" x14ac:dyDescent="0.25">
      <c r="A195" s="41">
        <f t="shared" ref="A195:A242" si="7">+A194+0.025</f>
        <v>4.8250000000000011</v>
      </c>
      <c r="B195" s="55">
        <f t="shared" si="6"/>
        <v>0.1492227979274611</v>
      </c>
    </row>
    <row r="196" spans="1:2" x14ac:dyDescent="0.25">
      <c r="A196" s="41">
        <f t="shared" si="7"/>
        <v>4.8500000000000014</v>
      </c>
      <c r="B196" s="55">
        <f t="shared" si="6"/>
        <v>0.14845360824742262</v>
      </c>
    </row>
    <row r="197" spans="1:2" x14ac:dyDescent="0.25">
      <c r="A197" s="41">
        <f t="shared" si="7"/>
        <v>4.8750000000000018</v>
      </c>
      <c r="B197" s="55">
        <f t="shared" si="6"/>
        <v>0.14769230769230762</v>
      </c>
    </row>
    <row r="198" spans="1:2" x14ac:dyDescent="0.25">
      <c r="A198" s="41">
        <f t="shared" si="7"/>
        <v>4.9000000000000021</v>
      </c>
      <c r="B198" s="55">
        <f t="shared" si="6"/>
        <v>0.14693877551020401</v>
      </c>
    </row>
    <row r="199" spans="1:2" x14ac:dyDescent="0.25">
      <c r="A199" s="41">
        <f t="shared" si="7"/>
        <v>4.9250000000000025</v>
      </c>
      <c r="B199" s="55">
        <f t="shared" si="6"/>
        <v>0.14619289340101516</v>
      </c>
    </row>
    <row r="200" spans="1:2" x14ac:dyDescent="0.25">
      <c r="A200" s="41">
        <f t="shared" si="7"/>
        <v>4.9500000000000028</v>
      </c>
      <c r="B200" s="55">
        <f t="shared" si="6"/>
        <v>0.14545454545454536</v>
      </c>
    </row>
    <row r="201" spans="1:2" x14ac:dyDescent="0.25">
      <c r="A201" s="41">
        <f t="shared" si="7"/>
        <v>4.9750000000000032</v>
      </c>
      <c r="B201" s="55">
        <f t="shared" si="6"/>
        <v>0.14472361809045217</v>
      </c>
    </row>
    <row r="202" spans="1:2" x14ac:dyDescent="0.25">
      <c r="A202" s="41">
        <f t="shared" si="7"/>
        <v>5.0000000000000036</v>
      </c>
      <c r="B202" s="55">
        <f t="shared" si="6"/>
        <v>0.14399999999999991</v>
      </c>
    </row>
    <row r="203" spans="1:2" x14ac:dyDescent="0.25">
      <c r="A203" s="41">
        <f t="shared" si="7"/>
        <v>5.0250000000000039</v>
      </c>
      <c r="B203" s="55">
        <f t="shared" si="6"/>
        <v>0.14328358208955211</v>
      </c>
    </row>
    <row r="204" spans="1:2" x14ac:dyDescent="0.25">
      <c r="A204" s="41">
        <f t="shared" si="7"/>
        <v>5.0500000000000043</v>
      </c>
      <c r="B204" s="55">
        <f t="shared" si="6"/>
        <v>0.14257425742574245</v>
      </c>
    </row>
    <row r="205" spans="1:2" x14ac:dyDescent="0.25">
      <c r="A205" s="41">
        <f t="shared" si="7"/>
        <v>5.0750000000000046</v>
      </c>
      <c r="B205" s="55">
        <f t="shared" si="6"/>
        <v>0.14187192118226588</v>
      </c>
    </row>
    <row r="206" spans="1:2" x14ac:dyDescent="0.25">
      <c r="A206" s="41">
        <f t="shared" si="7"/>
        <v>5.100000000000005</v>
      </c>
      <c r="B206" s="55">
        <f t="shared" si="6"/>
        <v>0.14117647058823515</v>
      </c>
    </row>
    <row r="207" spans="1:2" x14ac:dyDescent="0.25">
      <c r="A207" s="41">
        <f t="shared" si="7"/>
        <v>5.1250000000000053</v>
      </c>
      <c r="B207" s="55">
        <f t="shared" si="6"/>
        <v>0.14048780487804863</v>
      </c>
    </row>
    <row r="208" spans="1:2" x14ac:dyDescent="0.25">
      <c r="A208" s="41">
        <f t="shared" si="7"/>
        <v>5.1500000000000057</v>
      </c>
      <c r="B208" s="55">
        <f t="shared" si="6"/>
        <v>0.13980582524271828</v>
      </c>
    </row>
    <row r="209" spans="1:2" x14ac:dyDescent="0.25">
      <c r="A209" s="41">
        <f t="shared" si="7"/>
        <v>5.175000000000006</v>
      </c>
      <c r="B209" s="55">
        <f t="shared" si="6"/>
        <v>0.13913043478260853</v>
      </c>
    </row>
    <row r="210" spans="1:2" x14ac:dyDescent="0.25">
      <c r="A210" s="41">
        <f t="shared" si="7"/>
        <v>5.2000000000000064</v>
      </c>
      <c r="B210" s="55">
        <f t="shared" si="6"/>
        <v>0.13846153846153827</v>
      </c>
    </row>
    <row r="211" spans="1:2" x14ac:dyDescent="0.25">
      <c r="A211" s="41">
        <f t="shared" si="7"/>
        <v>5.2250000000000068</v>
      </c>
      <c r="B211" s="55">
        <f t="shared" si="6"/>
        <v>0.13779904306220078</v>
      </c>
    </row>
    <row r="212" spans="1:2" x14ac:dyDescent="0.25">
      <c r="A212" s="41">
        <f t="shared" si="7"/>
        <v>5.2500000000000071</v>
      </c>
      <c r="B212" s="55">
        <f t="shared" si="6"/>
        <v>0.13714285714285696</v>
      </c>
    </row>
    <row r="213" spans="1:2" x14ac:dyDescent="0.25">
      <c r="A213" s="41">
        <f t="shared" si="7"/>
        <v>5.2750000000000075</v>
      </c>
      <c r="B213" s="55">
        <f t="shared" si="6"/>
        <v>0.13649289099526046</v>
      </c>
    </row>
    <row r="214" spans="1:2" x14ac:dyDescent="0.25">
      <c r="A214" s="41">
        <f t="shared" si="7"/>
        <v>5.3000000000000078</v>
      </c>
      <c r="B214" s="55">
        <f t="shared" si="6"/>
        <v>0.13584905660377339</v>
      </c>
    </row>
    <row r="215" spans="1:2" x14ac:dyDescent="0.25">
      <c r="A215" s="41">
        <f t="shared" si="7"/>
        <v>5.3250000000000082</v>
      </c>
      <c r="B215" s="55">
        <f t="shared" si="6"/>
        <v>0.13521126760563359</v>
      </c>
    </row>
    <row r="216" spans="1:2" x14ac:dyDescent="0.25">
      <c r="A216" s="41">
        <f t="shared" si="7"/>
        <v>5.3500000000000085</v>
      </c>
      <c r="B216" s="55">
        <f t="shared" si="6"/>
        <v>0.13457943925233623</v>
      </c>
    </row>
    <row r="217" spans="1:2" x14ac:dyDescent="0.25">
      <c r="A217" s="41">
        <f t="shared" si="7"/>
        <v>5.3750000000000089</v>
      </c>
      <c r="B217" s="55">
        <f t="shared" si="6"/>
        <v>0.13395348837209281</v>
      </c>
    </row>
    <row r="218" spans="1:2" x14ac:dyDescent="0.25">
      <c r="A218" s="41">
        <f t="shared" si="7"/>
        <v>5.4000000000000092</v>
      </c>
      <c r="B218" s="55">
        <f t="shared" si="6"/>
        <v>0.13333333333333311</v>
      </c>
    </row>
    <row r="219" spans="1:2" x14ac:dyDescent="0.25">
      <c r="A219" s="41">
        <f t="shared" si="7"/>
        <v>5.4250000000000096</v>
      </c>
      <c r="B219" s="55">
        <f t="shared" si="6"/>
        <v>0.13271889400921635</v>
      </c>
    </row>
    <row r="220" spans="1:2" x14ac:dyDescent="0.25">
      <c r="A220" s="41">
        <f t="shared" si="7"/>
        <v>5.4500000000000099</v>
      </c>
      <c r="B220" s="55">
        <f t="shared" si="6"/>
        <v>0.13211009174311902</v>
      </c>
    </row>
    <row r="221" spans="1:2" x14ac:dyDescent="0.25">
      <c r="A221" s="41">
        <f t="shared" si="7"/>
        <v>5.4750000000000103</v>
      </c>
      <c r="B221" s="55">
        <f t="shared" si="6"/>
        <v>0.13150684931506823</v>
      </c>
    </row>
    <row r="222" spans="1:2" x14ac:dyDescent="0.25">
      <c r="A222" s="41">
        <f t="shared" si="7"/>
        <v>5.5000000000000107</v>
      </c>
      <c r="B222" s="55">
        <f t="shared" si="6"/>
        <v>0.13090909090909064</v>
      </c>
    </row>
    <row r="223" spans="1:2" x14ac:dyDescent="0.25">
      <c r="A223" s="41">
        <f t="shared" si="7"/>
        <v>5.525000000000011</v>
      </c>
      <c r="B223" s="55">
        <f t="shared" si="6"/>
        <v>0.1303167420814477</v>
      </c>
    </row>
    <row r="224" spans="1:2" x14ac:dyDescent="0.25">
      <c r="A224" s="41">
        <f t="shared" si="7"/>
        <v>5.5500000000000114</v>
      </c>
      <c r="B224" s="55">
        <f t="shared" si="6"/>
        <v>0.12972972972972946</v>
      </c>
    </row>
    <row r="225" spans="1:2" x14ac:dyDescent="0.25">
      <c r="A225" s="41">
        <f t="shared" si="7"/>
        <v>5.5750000000000117</v>
      </c>
      <c r="B225" s="55">
        <f t="shared" si="6"/>
        <v>0.12914798206278</v>
      </c>
    </row>
    <row r="226" spans="1:2" x14ac:dyDescent="0.25">
      <c r="A226" s="41">
        <f t="shared" si="7"/>
        <v>5.6000000000000121</v>
      </c>
      <c r="B226" s="55">
        <f t="shared" si="6"/>
        <v>0.12857142857142828</v>
      </c>
    </row>
    <row r="227" spans="1:2" x14ac:dyDescent="0.25">
      <c r="A227" s="41">
        <f t="shared" si="7"/>
        <v>5.6250000000000124</v>
      </c>
      <c r="B227" s="55">
        <f t="shared" si="6"/>
        <v>0.12799999999999973</v>
      </c>
    </row>
    <row r="228" spans="1:2" x14ac:dyDescent="0.25">
      <c r="A228" s="41">
        <f t="shared" si="7"/>
        <v>5.6500000000000128</v>
      </c>
      <c r="B228" s="55">
        <f t="shared" si="6"/>
        <v>0.12743362831858379</v>
      </c>
    </row>
    <row r="229" spans="1:2" x14ac:dyDescent="0.25">
      <c r="A229" s="41">
        <f t="shared" si="7"/>
        <v>5.6750000000000131</v>
      </c>
      <c r="B229" s="55">
        <f t="shared" si="6"/>
        <v>0.12687224669603495</v>
      </c>
    </row>
    <row r="230" spans="1:2" x14ac:dyDescent="0.25">
      <c r="A230" s="41">
        <f t="shared" si="7"/>
        <v>5.7000000000000135</v>
      </c>
      <c r="B230" s="55">
        <f t="shared" si="6"/>
        <v>0.12631578947368391</v>
      </c>
    </row>
    <row r="231" spans="1:2" x14ac:dyDescent="0.25">
      <c r="A231" s="41">
        <f t="shared" si="7"/>
        <v>5.7250000000000139</v>
      </c>
      <c r="B231" s="55">
        <f t="shared" si="6"/>
        <v>0.12576419213973769</v>
      </c>
    </row>
    <row r="232" spans="1:2" x14ac:dyDescent="0.25">
      <c r="A232" s="41">
        <f t="shared" si="7"/>
        <v>5.7500000000000142</v>
      </c>
      <c r="B232" s="55">
        <f t="shared" si="6"/>
        <v>0.1252173913043475</v>
      </c>
    </row>
    <row r="233" spans="1:2" x14ac:dyDescent="0.25">
      <c r="A233" s="41">
        <f t="shared" si="7"/>
        <v>5.7750000000000146</v>
      </c>
      <c r="B233" s="55">
        <f t="shared" si="6"/>
        <v>0.12435149266318032</v>
      </c>
    </row>
    <row r="234" spans="1:2" x14ac:dyDescent="0.25">
      <c r="A234" s="41">
        <f t="shared" si="7"/>
        <v>5.8000000000000149</v>
      </c>
      <c r="B234" s="55">
        <f t="shared" si="6"/>
        <v>0.12328180737217535</v>
      </c>
    </row>
    <row r="235" spans="1:2" x14ac:dyDescent="0.25">
      <c r="A235" s="41">
        <f t="shared" si="7"/>
        <v>5.8250000000000153</v>
      </c>
      <c r="B235" s="55">
        <f t="shared" si="6"/>
        <v>0.12222586527657472</v>
      </c>
    </row>
    <row r="236" spans="1:2" x14ac:dyDescent="0.25">
      <c r="A236" s="41">
        <f t="shared" si="7"/>
        <v>5.8500000000000156</v>
      </c>
      <c r="B236" s="55">
        <f t="shared" si="6"/>
        <v>0.12118343195266207</v>
      </c>
    </row>
    <row r="237" spans="1:2" x14ac:dyDescent="0.25">
      <c r="A237" s="41">
        <f t="shared" si="7"/>
        <v>5.875000000000016</v>
      </c>
      <c r="B237" s="55">
        <f t="shared" si="6"/>
        <v>0.12015427795382461</v>
      </c>
    </row>
    <row r="238" spans="1:2" x14ac:dyDescent="0.25">
      <c r="A238" s="41">
        <f t="shared" si="7"/>
        <v>5.9000000000000163</v>
      </c>
      <c r="B238" s="55">
        <f t="shared" si="6"/>
        <v>0.11913817868428546</v>
      </c>
    </row>
    <row r="239" spans="1:2" x14ac:dyDescent="0.25">
      <c r="A239" s="41">
        <f t="shared" si="7"/>
        <v>5.9250000000000167</v>
      </c>
      <c r="B239" s="55">
        <f t="shared" si="6"/>
        <v>0.11813491427655758</v>
      </c>
    </row>
    <row r="240" spans="1:2" x14ac:dyDescent="0.25">
      <c r="A240" s="41">
        <f t="shared" si="7"/>
        <v>5.9500000000000171</v>
      </c>
      <c r="B240" s="55">
        <f t="shared" si="6"/>
        <v>0.11714426947249421</v>
      </c>
    </row>
    <row r="241" spans="1:2" x14ac:dyDescent="0.25">
      <c r="A241" s="41">
        <f t="shared" si="7"/>
        <v>5.9750000000000174</v>
      </c>
      <c r="B241" s="55">
        <f t="shared" si="6"/>
        <v>0.11616603350781605</v>
      </c>
    </row>
    <row r="242" spans="1:2" x14ac:dyDescent="0.25">
      <c r="A242" s="41">
        <f t="shared" si="7"/>
        <v>6.0000000000000178</v>
      </c>
      <c r="B242" s="55">
        <f t="shared" si="6"/>
        <v>0.11519999999999932</v>
      </c>
    </row>
  </sheetData>
  <mergeCells count="8">
    <mergeCell ref="G58:J59"/>
    <mergeCell ref="G60:J61"/>
    <mergeCell ref="D46:G46"/>
    <mergeCell ref="D6:G6"/>
    <mergeCell ref="I3:L3"/>
    <mergeCell ref="D9:G9"/>
    <mergeCell ref="D15:G15"/>
    <mergeCell ref="G56:J57"/>
  </mergeCells>
  <dataValidations disablePrompts="1" count="1">
    <dataValidation type="list" allowBlank="1" showInputMessage="1" showErrorMessage="1" sqref="D3" xr:uid="{8DEE81A5-16E9-4731-8801-FC1FB4CF6215}">
      <formula1>MUNICIPIOS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9F7D2039-2C7F-49C5-A3A0-CF38C3DC9C7A}">
          <x14:formula1>
            <xm:f>TABLAS!$N$2:$N$6</xm:f>
          </x14:formula1>
          <xm:sqref>D6</xm:sqref>
        </x14:dataValidation>
        <x14:dataValidation type="list" allowBlank="1" showInputMessage="1" showErrorMessage="1" xr:uid="{1E890B1A-F7B0-4BE4-8D58-CEEAE921265A}">
          <x14:formula1>
            <xm:f>TABLAS!$N$9:$N$17</xm:f>
          </x14:formula1>
          <xm:sqref>D9:G9</xm:sqref>
        </x14:dataValidation>
        <x14:dataValidation type="list" allowBlank="1" showInputMessage="1" showErrorMessage="1" xr:uid="{00000000-0002-0000-0000-000002000000}">
          <x14:formula1>
            <xm:f>TABLAS!$T$27:$T$30</xm:f>
          </x14:formula1>
          <xm:sqref>D15</xm:sqref>
        </x14:dataValidation>
        <x14:dataValidation type="list" allowBlank="1" showInputMessage="1" showErrorMessage="1" xr:uid="{B5151D2F-1CF7-4529-B5C6-0D208817C626}">
          <x14:formula1>
            <xm:f>TABLAS!$S$4:$S$9</xm:f>
          </x14:formula1>
          <xm:sqref>D12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80AC-C999-48FF-8DBD-C0E63AA0CA77}">
  <sheetPr>
    <tabColor rgb="FF00B050"/>
  </sheetPr>
  <dimension ref="A1:U195"/>
  <sheetViews>
    <sheetView showGridLines="0" topLeftCell="A97" zoomScale="90" zoomScaleNormal="90" workbookViewId="0">
      <selection activeCell="O124" sqref="O124"/>
    </sheetView>
  </sheetViews>
  <sheetFormatPr baseColWidth="10" defaultRowHeight="13.2" x14ac:dyDescent="0.25"/>
  <cols>
    <col min="1" max="1" width="13.21875" customWidth="1"/>
    <col min="2" max="2" width="17.109375" customWidth="1"/>
    <col min="3" max="3" width="18.44140625" customWidth="1"/>
    <col min="4" max="4" width="15.77734375" customWidth="1"/>
    <col min="5" max="5" width="10.5546875" customWidth="1"/>
    <col min="16" max="16" width="21.109375" customWidth="1"/>
  </cols>
  <sheetData>
    <row r="1" spans="2:8" ht="13.8" thickBot="1" x14ac:dyDescent="0.3"/>
    <row r="2" spans="2:8" ht="13.8" thickBot="1" x14ac:dyDescent="0.3">
      <c r="B2" s="534" t="s">
        <v>717</v>
      </c>
      <c r="C2" s="535"/>
      <c r="D2" s="535"/>
      <c r="E2" s="536"/>
    </row>
    <row r="3" spans="2:8" ht="16.2" thickBot="1" x14ac:dyDescent="0.3">
      <c r="B3" s="297" t="s">
        <v>707</v>
      </c>
      <c r="C3" s="305" t="s">
        <v>706</v>
      </c>
      <c r="D3" s="305" t="s">
        <v>718</v>
      </c>
      <c r="E3" s="306" t="s">
        <v>714</v>
      </c>
    </row>
    <row r="4" spans="2:8" ht="14.4" x14ac:dyDescent="0.3">
      <c r="B4" s="530" t="s">
        <v>708</v>
      </c>
      <c r="C4" s="302" t="s">
        <v>709</v>
      </c>
      <c r="D4" s="298">
        <v>0.2</v>
      </c>
      <c r="E4" s="524">
        <f>+SUM(D4:D6)</f>
        <v>0.55000000000000004</v>
      </c>
      <c r="H4" s="318" t="s">
        <v>727</v>
      </c>
    </row>
    <row r="5" spans="2:8" ht="14.4" x14ac:dyDescent="0.3">
      <c r="B5" s="531"/>
      <c r="C5" s="303" t="s">
        <v>710</v>
      </c>
      <c r="D5" s="299">
        <v>0.2</v>
      </c>
      <c r="E5" s="533"/>
      <c r="H5" s="318" t="s">
        <v>728</v>
      </c>
    </row>
    <row r="6" spans="2:8" ht="14.4" x14ac:dyDescent="0.3">
      <c r="B6" s="531"/>
      <c r="C6" s="303" t="s">
        <v>711</v>
      </c>
      <c r="D6" s="299">
        <v>0.15</v>
      </c>
      <c r="E6" s="533"/>
      <c r="H6" s="318" t="s">
        <v>729</v>
      </c>
    </row>
    <row r="7" spans="2:8" ht="15" thickBot="1" x14ac:dyDescent="0.35">
      <c r="B7" s="532"/>
      <c r="C7" s="304" t="s">
        <v>712</v>
      </c>
      <c r="D7" s="300">
        <f>+SUM(D4:D6)/24</f>
        <v>2.2916666666666669E-2</v>
      </c>
      <c r="E7" s="525"/>
      <c r="H7" s="318" t="s">
        <v>730</v>
      </c>
    </row>
    <row r="8" spans="2:8" ht="14.4" x14ac:dyDescent="0.3">
      <c r="B8" s="530" t="s">
        <v>705</v>
      </c>
      <c r="C8" s="302" t="s">
        <v>713</v>
      </c>
      <c r="D8" s="298">
        <v>1.1000000000000001</v>
      </c>
      <c r="E8" s="524">
        <f>+SUM(D8:D9)</f>
        <v>1.4000000000000001</v>
      </c>
      <c r="H8" s="318" t="s">
        <v>731</v>
      </c>
    </row>
    <row r="9" spans="2:8" ht="15" thickBot="1" x14ac:dyDescent="0.35">
      <c r="B9" s="532"/>
      <c r="C9" s="304" t="s">
        <v>710</v>
      </c>
      <c r="D9" s="301">
        <v>0.3</v>
      </c>
      <c r="E9" s="525"/>
      <c r="H9" s="318" t="s">
        <v>732</v>
      </c>
    </row>
    <row r="10" spans="2:8" ht="14.4" x14ac:dyDescent="0.3">
      <c r="B10" s="528" t="s">
        <v>721</v>
      </c>
      <c r="C10" s="302" t="s">
        <v>713</v>
      </c>
      <c r="D10" s="298">
        <v>1.1000000000000001</v>
      </c>
      <c r="E10" s="524">
        <f>+SUM(D10:D11)</f>
        <v>1.4000000000000001</v>
      </c>
      <c r="H10" s="318" t="s">
        <v>733</v>
      </c>
    </row>
    <row r="11" spans="2:8" ht="15" thickBot="1" x14ac:dyDescent="0.35">
      <c r="B11" s="529"/>
      <c r="C11" s="304" t="s">
        <v>710</v>
      </c>
      <c r="D11" s="301">
        <v>0.3</v>
      </c>
      <c r="E11" s="525"/>
      <c r="H11" s="318" t="s">
        <v>734</v>
      </c>
    </row>
    <row r="12" spans="2:8" ht="14.4" x14ac:dyDescent="0.3">
      <c r="B12" s="526" t="s">
        <v>702</v>
      </c>
      <c r="C12" s="302" t="s">
        <v>713</v>
      </c>
      <c r="D12" s="298">
        <v>0.8</v>
      </c>
      <c r="E12" s="524">
        <f t="shared" ref="E12" si="0">+SUM(D12:D13)</f>
        <v>1.1000000000000001</v>
      </c>
      <c r="H12" s="318" t="s">
        <v>735</v>
      </c>
    </row>
    <row r="13" spans="2:8" ht="15" thickBot="1" x14ac:dyDescent="0.35">
      <c r="B13" s="527"/>
      <c r="C13" s="304" t="s">
        <v>710</v>
      </c>
      <c r="D13" s="301">
        <v>0.3</v>
      </c>
      <c r="E13" s="525"/>
      <c r="H13" s="318" t="s">
        <v>736</v>
      </c>
    </row>
    <row r="14" spans="2:8" ht="14.4" x14ac:dyDescent="0.3">
      <c r="B14" s="526" t="s">
        <v>715</v>
      </c>
      <c r="C14" s="302" t="s">
        <v>713</v>
      </c>
      <c r="D14" s="298">
        <v>1.1000000000000001</v>
      </c>
      <c r="E14" s="524">
        <f t="shared" ref="E14:E20" si="1">+SUM(D14:D15)</f>
        <v>1.4000000000000001</v>
      </c>
      <c r="H14" s="318" t="s">
        <v>737</v>
      </c>
    </row>
    <row r="15" spans="2:8" ht="15" thickBot="1" x14ac:dyDescent="0.35">
      <c r="B15" s="527"/>
      <c r="C15" s="304" t="s">
        <v>710</v>
      </c>
      <c r="D15" s="301">
        <v>0.3</v>
      </c>
      <c r="E15" s="525"/>
      <c r="H15" s="318" t="s">
        <v>738</v>
      </c>
    </row>
    <row r="16" spans="2:8" ht="14.4" x14ac:dyDescent="0.3">
      <c r="B16" s="526" t="s">
        <v>716</v>
      </c>
      <c r="C16" s="302" t="s">
        <v>713</v>
      </c>
      <c r="D16" s="298">
        <v>1.1000000000000001</v>
      </c>
      <c r="E16" s="524">
        <f t="shared" si="1"/>
        <v>1.4000000000000001</v>
      </c>
      <c r="H16" s="318" t="s">
        <v>739</v>
      </c>
    </row>
    <row r="17" spans="1:11" ht="15" thickBot="1" x14ac:dyDescent="0.35">
      <c r="B17" s="527"/>
      <c r="C17" s="304" t="s">
        <v>710</v>
      </c>
      <c r="D17" s="301">
        <v>0.3</v>
      </c>
      <c r="E17" s="525"/>
      <c r="H17" s="318" t="s">
        <v>740</v>
      </c>
    </row>
    <row r="18" spans="1:11" ht="14.4" x14ac:dyDescent="0.3">
      <c r="B18" s="526" t="s">
        <v>704</v>
      </c>
      <c r="C18" s="302" t="s">
        <v>713</v>
      </c>
      <c r="D18" s="298">
        <v>1.1000000000000001</v>
      </c>
      <c r="E18" s="524">
        <f t="shared" si="1"/>
        <v>1.4000000000000001</v>
      </c>
      <c r="H18" s="318" t="s">
        <v>741</v>
      </c>
    </row>
    <row r="19" spans="1:11" ht="15" thickBot="1" x14ac:dyDescent="0.35">
      <c r="B19" s="527"/>
      <c r="C19" s="304" t="s">
        <v>710</v>
      </c>
      <c r="D19" s="301">
        <v>0.3</v>
      </c>
      <c r="E19" s="525"/>
      <c r="H19" s="318" t="s">
        <v>742</v>
      </c>
    </row>
    <row r="20" spans="1:11" x14ac:dyDescent="0.25">
      <c r="B20" s="526" t="s">
        <v>703</v>
      </c>
      <c r="C20" s="302" t="s">
        <v>713</v>
      </c>
      <c r="D20" s="298">
        <v>1.1000000000000001</v>
      </c>
      <c r="E20" s="524">
        <f t="shared" si="1"/>
        <v>1.4000000000000001</v>
      </c>
    </row>
    <row r="21" spans="1:11" ht="13.8" thickBot="1" x14ac:dyDescent="0.3">
      <c r="B21" s="527"/>
      <c r="C21" s="304" t="s">
        <v>710</v>
      </c>
      <c r="D21" s="301">
        <v>0.3</v>
      </c>
      <c r="E21" s="525"/>
    </row>
    <row r="22" spans="1:11" ht="13.8" thickBot="1" x14ac:dyDescent="0.3">
      <c r="B22" s="307" t="s">
        <v>722</v>
      </c>
      <c r="C22" s="308" t="s">
        <v>713</v>
      </c>
      <c r="D22" s="309">
        <v>1.1000000000000001</v>
      </c>
      <c r="E22" s="310">
        <f>+SUM(D22:D22)</f>
        <v>1.1000000000000001</v>
      </c>
    </row>
    <row r="26" spans="1:11" s="1" customFormat="1" ht="58.95" customHeight="1" x14ac:dyDescent="0.25">
      <c r="A26" s="519" t="s">
        <v>723</v>
      </c>
      <c r="B26" s="519"/>
      <c r="C26" s="519"/>
      <c r="D26" s="519"/>
      <c r="E26" s="519"/>
      <c r="F26" s="519"/>
      <c r="G26" s="519"/>
      <c r="H26" s="519"/>
      <c r="I26" s="519"/>
    </row>
    <row r="27" spans="1:11" s="1" customFormat="1" ht="15" customHeight="1" x14ac:dyDescent="0.25">
      <c r="A27" s="4" t="s">
        <v>164</v>
      </c>
      <c r="B27" s="30"/>
      <c r="C27" s="30"/>
      <c r="D27" s="30"/>
      <c r="E27" s="30"/>
      <c r="F27" s="30"/>
      <c r="G27" s="30"/>
      <c r="H27" s="30"/>
      <c r="J27" s="221"/>
      <c r="K27" s="221"/>
    </row>
    <row r="28" spans="1:11" s="1" customFormat="1" ht="15" customHeight="1" x14ac:dyDescent="0.25">
      <c r="A28" s="164" t="s">
        <v>525</v>
      </c>
      <c r="B28" s="30"/>
      <c r="C28" s="30"/>
      <c r="D28" s="30"/>
      <c r="E28" s="30"/>
      <c r="F28" s="30"/>
      <c r="G28" s="30"/>
      <c r="H28" s="30"/>
      <c r="J28" s="221"/>
      <c r="K28" s="221"/>
    </row>
    <row r="29" spans="1:11" s="1" customFormat="1" ht="15" customHeight="1" x14ac:dyDescent="0.25">
      <c r="A29" s="164" t="s">
        <v>526</v>
      </c>
      <c r="B29" s="30"/>
      <c r="C29" s="30"/>
      <c r="D29" s="30"/>
      <c r="E29" s="30"/>
      <c r="F29" s="30"/>
      <c r="G29" s="30"/>
      <c r="H29" s="30"/>
      <c r="J29" s="221"/>
      <c r="K29" s="221"/>
    </row>
    <row r="30" spans="1:11" s="1" customFormat="1" ht="15" customHeight="1" x14ac:dyDescent="0.25">
      <c r="A30" s="164" t="s">
        <v>527</v>
      </c>
      <c r="B30" s="30"/>
      <c r="C30" s="30"/>
      <c r="D30" s="30"/>
      <c r="E30" s="30"/>
      <c r="F30" s="30"/>
      <c r="G30" s="30"/>
      <c r="H30" s="30"/>
      <c r="J30" s="221"/>
      <c r="K30" s="221"/>
    </row>
    <row r="31" spans="1:11" s="1" customFormat="1" ht="5.0999999999999996" customHeight="1" x14ac:dyDescent="0.25">
      <c r="A31" s="30"/>
      <c r="B31" s="30"/>
      <c r="C31" s="30"/>
      <c r="D31" s="30"/>
      <c r="E31" s="30"/>
      <c r="F31" s="30"/>
      <c r="G31" s="30"/>
      <c r="H31" s="30"/>
    </row>
    <row r="32" spans="1:11" s="1" customFormat="1" ht="15" customHeight="1" x14ac:dyDescent="0.25">
      <c r="A32" s="4" t="s">
        <v>165</v>
      </c>
      <c r="B32" s="30"/>
      <c r="C32" s="30"/>
      <c r="D32" s="30"/>
      <c r="E32" s="30"/>
      <c r="F32" s="30"/>
      <c r="G32" s="30"/>
      <c r="H32" s="30"/>
      <c r="J32" s="221"/>
      <c r="K32" s="221"/>
    </row>
    <row r="33" spans="1:11" s="1" customFormat="1" ht="15" customHeight="1" x14ac:dyDescent="0.25">
      <c r="A33" s="164" t="s">
        <v>520</v>
      </c>
      <c r="B33" s="30"/>
      <c r="C33" s="30"/>
      <c r="D33" s="30"/>
      <c r="E33" s="30"/>
      <c r="F33" s="30"/>
      <c r="G33" s="30"/>
      <c r="H33" s="30"/>
      <c r="J33" s="221"/>
      <c r="K33" s="221"/>
    </row>
    <row r="34" spans="1:11" s="1" customFormat="1" ht="15" customHeight="1" x14ac:dyDescent="0.25">
      <c r="A34" s="164" t="s">
        <v>521</v>
      </c>
      <c r="B34" s="30"/>
      <c r="C34" s="30"/>
      <c r="D34" s="30"/>
      <c r="E34" s="30"/>
      <c r="F34" s="30"/>
      <c r="G34" s="30"/>
      <c r="H34" s="30"/>
      <c r="J34" s="221"/>
      <c r="K34" s="221"/>
    </row>
    <row r="35" spans="1:11" s="1" customFormat="1" ht="15" customHeight="1" x14ac:dyDescent="0.25">
      <c r="A35" s="164" t="s">
        <v>522</v>
      </c>
      <c r="B35" s="30"/>
      <c r="C35" s="30"/>
      <c r="D35" s="30"/>
      <c r="E35" s="30"/>
      <c r="F35" s="30"/>
      <c r="G35" s="30"/>
      <c r="H35" s="30"/>
      <c r="J35" s="221"/>
      <c r="K35" s="221"/>
    </row>
    <row r="36" spans="1:11" s="1" customFormat="1" ht="15" customHeight="1" x14ac:dyDescent="0.25">
      <c r="A36" s="164" t="s">
        <v>523</v>
      </c>
      <c r="B36" s="30"/>
      <c r="C36" s="30"/>
      <c r="D36" s="30"/>
      <c r="E36" s="30"/>
      <c r="F36" s="30"/>
      <c r="G36" s="30"/>
      <c r="H36" s="30"/>
    </row>
    <row r="37" spans="1:11" s="1" customFormat="1" ht="15" customHeight="1" x14ac:dyDescent="0.25">
      <c r="A37" s="164" t="s">
        <v>524</v>
      </c>
      <c r="B37" s="30"/>
      <c r="C37" s="30"/>
      <c r="D37" s="30"/>
      <c r="E37" s="30"/>
      <c r="F37" s="30"/>
      <c r="G37" s="30"/>
      <c r="H37" s="30"/>
      <c r="J37" s="221"/>
      <c r="K37" s="221"/>
    </row>
    <row r="38" spans="1:11" s="1" customFormat="1" ht="15" customHeight="1" x14ac:dyDescent="0.25">
      <c r="A38" s="164" t="s">
        <v>166</v>
      </c>
      <c r="B38" s="30"/>
      <c r="C38" s="30"/>
      <c r="D38" s="30"/>
      <c r="E38" s="30"/>
      <c r="F38" s="30"/>
      <c r="G38" s="30"/>
      <c r="H38" s="30"/>
    </row>
    <row r="39" spans="1:11" s="1" customFormat="1" ht="5.0999999999999996" customHeight="1" x14ac:dyDescent="0.25">
      <c r="A39" s="88"/>
      <c r="B39" s="47"/>
      <c r="C39" s="47"/>
      <c r="D39" s="47"/>
      <c r="E39" s="47"/>
      <c r="F39" s="47"/>
      <c r="G39" s="47"/>
      <c r="H39" s="47"/>
    </row>
    <row r="40" spans="1:11" s="1" customFormat="1" ht="15" customHeight="1" x14ac:dyDescent="0.25">
      <c r="A40" s="48" t="s">
        <v>18</v>
      </c>
      <c r="B40" s="47"/>
      <c r="C40" s="47"/>
      <c r="D40" s="47"/>
      <c r="E40" s="47"/>
      <c r="F40" s="47"/>
      <c r="G40" s="47"/>
      <c r="H40" s="47"/>
    </row>
    <row r="41" spans="1:11" s="1" customFormat="1" ht="15" customHeight="1" x14ac:dyDescent="0.25">
      <c r="A41" s="46" t="s">
        <v>167</v>
      </c>
      <c r="B41" s="47"/>
      <c r="C41" s="47"/>
      <c r="D41" s="47"/>
      <c r="E41" s="47"/>
      <c r="F41" s="47"/>
      <c r="G41" s="47"/>
      <c r="H41" s="47"/>
    </row>
    <row r="42" spans="1:11" s="1" customFormat="1" ht="15" customHeight="1" x14ac:dyDescent="0.25">
      <c r="A42" s="46" t="s">
        <v>168</v>
      </c>
      <c r="B42" s="47"/>
      <c r="C42" s="47"/>
      <c r="D42" s="47"/>
      <c r="E42" s="47"/>
      <c r="F42" s="47"/>
      <c r="G42" s="47"/>
      <c r="H42" s="47"/>
    </row>
    <row r="43" spans="1:11" s="1" customFormat="1" ht="5.0999999999999996" customHeight="1" x14ac:dyDescent="0.25"/>
    <row r="44" spans="1:11" s="1" customFormat="1" ht="15" customHeight="1" x14ac:dyDescent="0.25">
      <c r="A44" s="23" t="s">
        <v>28</v>
      </c>
    </row>
    <row r="45" spans="1:11" s="1" customFormat="1" ht="15" customHeight="1" x14ac:dyDescent="0.25">
      <c r="A45" s="99" t="s">
        <v>26</v>
      </c>
      <c r="B45" s="101">
        <v>24</v>
      </c>
      <c r="C45" s="100" t="s">
        <v>27</v>
      </c>
      <c r="D45" s="100"/>
      <c r="E45" s="100"/>
      <c r="F45" s="100"/>
      <c r="G45" s="100"/>
      <c r="H45" s="100"/>
      <c r="I45" s="100"/>
    </row>
    <row r="46" spans="1:11" s="1" customFormat="1" ht="15" customHeight="1" x14ac:dyDescent="0.25">
      <c r="A46" s="99" t="s">
        <v>1834</v>
      </c>
      <c r="B46" s="368">
        <v>16.5</v>
      </c>
      <c r="C46" s="100" t="s">
        <v>1912</v>
      </c>
      <c r="D46" s="100"/>
      <c r="E46" s="100"/>
      <c r="F46" s="100"/>
      <c r="G46" s="100"/>
      <c r="H46" s="100"/>
      <c r="I46" s="100"/>
    </row>
    <row r="47" spans="1:11" s="45" customFormat="1" ht="5.0999999999999996" customHeight="1" x14ac:dyDescent="0.25"/>
    <row r="48" spans="1:11" s="45" customFormat="1" ht="14.4" customHeight="1" x14ac:dyDescent="0.25"/>
    <row r="49" spans="1:19" s="45" customFormat="1" ht="15" customHeight="1" x14ac:dyDescent="0.25">
      <c r="A49" s="379" t="s">
        <v>1927</v>
      </c>
      <c r="B49" s="380"/>
    </row>
    <row r="50" spans="1:19" s="100" customFormat="1" ht="13.8" customHeight="1" x14ac:dyDescent="0.25">
      <c r="A50" s="168" t="s">
        <v>428</v>
      </c>
      <c r="B50" s="209">
        <v>0.8</v>
      </c>
      <c r="C50" s="522" t="s">
        <v>1911</v>
      </c>
      <c r="D50" s="523"/>
      <c r="E50" s="523"/>
      <c r="F50" s="523"/>
      <c r="G50" s="523"/>
      <c r="H50" s="523"/>
      <c r="I50" s="523"/>
    </row>
    <row r="51" spans="1:19" s="45" customFormat="1" ht="13.8" customHeight="1" x14ac:dyDescent="0.25">
      <c r="A51" s="429" t="s">
        <v>135</v>
      </c>
      <c r="B51" s="430">
        <f>SUM(B50:B50)</f>
        <v>0.8</v>
      </c>
      <c r="C51" s="432"/>
      <c r="D51" s="432"/>
      <c r="E51" s="432"/>
      <c r="F51" s="432"/>
      <c r="G51" s="432"/>
      <c r="H51" s="432"/>
      <c r="I51" s="432"/>
    </row>
    <row r="52" spans="1:19" s="45" customFormat="1" ht="13.8" customHeight="1" x14ac:dyDescent="0.25">
      <c r="A52" s="429"/>
      <c r="B52" s="430"/>
      <c r="C52" s="432"/>
      <c r="D52" s="432"/>
      <c r="E52" s="432"/>
      <c r="F52" s="432"/>
      <c r="G52" s="432"/>
      <c r="H52" s="432"/>
      <c r="I52" s="432"/>
    </row>
    <row r="53" spans="1:19" s="1" customFormat="1" ht="18" customHeight="1" x14ac:dyDescent="0.25">
      <c r="A53" s="433" t="s">
        <v>1928</v>
      </c>
      <c r="B53" s="430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</row>
    <row r="54" spans="1:19" s="1" customFormat="1" ht="18" customHeight="1" x14ac:dyDescent="0.25">
      <c r="A54" s="168" t="s">
        <v>1929</v>
      </c>
      <c r="B54" s="294">
        <v>2.88</v>
      </c>
      <c r="C54" s="169" t="s">
        <v>1930</v>
      </c>
      <c r="D54" s="100"/>
      <c r="E54" s="100"/>
      <c r="F54" s="100"/>
      <c r="G54" s="100"/>
      <c r="H54" s="428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</row>
    <row r="55" spans="1:19" s="45" customFormat="1" ht="13.8" customHeight="1" x14ac:dyDescent="0.25">
      <c r="A55" s="429"/>
      <c r="B55" s="430"/>
      <c r="C55" s="432"/>
      <c r="D55" s="432"/>
      <c r="E55" s="432"/>
      <c r="F55" s="432"/>
      <c r="G55" s="432"/>
      <c r="H55" s="432"/>
      <c r="I55" s="432"/>
    </row>
    <row r="56" spans="1:19" s="45" customFormat="1" ht="12.6" hidden="1" customHeight="1" x14ac:dyDescent="0.25">
      <c r="A56" s="379"/>
      <c r="B56" s="380"/>
    </row>
    <row r="57" spans="1:19" s="1" customFormat="1" ht="15" hidden="1" customHeight="1" x14ac:dyDescent="0.25">
      <c r="A57" s="48" t="s">
        <v>1836</v>
      </c>
    </row>
    <row r="58" spans="1:19" hidden="1" x14ac:dyDescent="0.25">
      <c r="B58" s="315" t="s">
        <v>1837</v>
      </c>
      <c r="C58" s="315" t="s">
        <v>1838</v>
      </c>
      <c r="D58" s="517" t="s">
        <v>1839</v>
      </c>
      <c r="E58" s="517"/>
      <c r="F58" s="517"/>
    </row>
    <row r="59" spans="1:19" s="1" customFormat="1" ht="15" hidden="1" customHeight="1" x14ac:dyDescent="0.25">
      <c r="A59" s="168" t="s">
        <v>512</v>
      </c>
      <c r="B59" s="383">
        <f>+VLOOKUP(D59,TABLAS!$J$5:$L$9,2,FALSE)*C59</f>
        <v>0</v>
      </c>
      <c r="C59" s="369">
        <v>0</v>
      </c>
      <c r="D59" s="518" t="s">
        <v>1841</v>
      </c>
      <c r="E59" s="516"/>
      <c r="F59" s="516"/>
      <c r="G59" s="100"/>
      <c r="H59"/>
      <c r="I59"/>
      <c r="J59"/>
    </row>
    <row r="60" spans="1:19" s="1" customFormat="1" ht="15" hidden="1" customHeight="1" x14ac:dyDescent="0.25">
      <c r="A60" s="168" t="s">
        <v>512</v>
      </c>
      <c r="B60" s="383">
        <f>+VLOOKUP(D60,TABLAS!$J$6:$L$10,2,FALSE)*C60</f>
        <v>0</v>
      </c>
      <c r="C60" s="369">
        <v>0</v>
      </c>
      <c r="D60" s="518" t="s">
        <v>1842</v>
      </c>
      <c r="E60" s="516"/>
      <c r="F60" s="516"/>
      <c r="G60" s="100"/>
      <c r="H60"/>
      <c r="I60"/>
      <c r="J60"/>
    </row>
    <row r="61" spans="1:19" s="1" customFormat="1" ht="15" hidden="1" customHeight="1" x14ac:dyDescent="0.25">
      <c r="H61"/>
      <c r="I61"/>
      <c r="J61"/>
    </row>
    <row r="62" spans="1:19" s="1" customFormat="1" ht="15" hidden="1" customHeight="1" x14ac:dyDescent="0.25">
      <c r="B62" s="315" t="s">
        <v>1837</v>
      </c>
      <c r="C62" s="315" t="s">
        <v>1838</v>
      </c>
      <c r="D62" s="315" t="s">
        <v>1851</v>
      </c>
      <c r="E62" s="517" t="s">
        <v>1839</v>
      </c>
      <c r="F62" s="517"/>
      <c r="G62" s="517"/>
    </row>
    <row r="63" spans="1:19" s="1" customFormat="1" ht="15" hidden="1" customHeight="1" x14ac:dyDescent="0.25">
      <c r="A63" s="168" t="s">
        <v>512</v>
      </c>
      <c r="B63" s="383">
        <f>+VLOOKUP(E63,TABLAS!$J$5:$L$9,2,FALSE)*C63+0.45*D63</f>
        <v>0</v>
      </c>
      <c r="C63" s="369">
        <v>0</v>
      </c>
      <c r="D63" s="369">
        <v>0</v>
      </c>
      <c r="E63" s="518" t="s">
        <v>1841</v>
      </c>
      <c r="F63" s="516"/>
      <c r="G63" s="516"/>
    </row>
    <row r="64" spans="1:19" s="1" customFormat="1" ht="15" hidden="1" customHeight="1" x14ac:dyDescent="0.25">
      <c r="A64" s="168" t="s">
        <v>512</v>
      </c>
      <c r="B64" s="383">
        <f>+VLOOKUP(E64,TABLAS!$J$5:$L$9,2,FALSE)*C64+0.45*D64</f>
        <v>0</v>
      </c>
      <c r="C64" s="369">
        <v>0</v>
      </c>
      <c r="D64" s="369">
        <v>0</v>
      </c>
      <c r="E64" s="518" t="s">
        <v>1841</v>
      </c>
      <c r="F64" s="516"/>
      <c r="G64" s="516"/>
    </row>
    <row r="65" spans="1:10" s="1" customFormat="1" ht="15" hidden="1" customHeight="1" x14ac:dyDescent="0.25"/>
    <row r="66" spans="1:10" s="1" customFormat="1" ht="15" customHeight="1" x14ac:dyDescent="0.25">
      <c r="A66" s="48" t="s">
        <v>1835</v>
      </c>
    </row>
    <row r="67" spans="1:10" s="1" customFormat="1" ht="15" customHeight="1" x14ac:dyDescent="0.25">
      <c r="A67"/>
      <c r="B67" s="315" t="s">
        <v>1837</v>
      </c>
      <c r="C67" s="315" t="s">
        <v>1838</v>
      </c>
      <c r="D67" s="517" t="s">
        <v>1839</v>
      </c>
      <c r="E67" s="517"/>
      <c r="F67" s="517"/>
    </row>
    <row r="68" spans="1:10" s="1" customFormat="1" ht="15" customHeight="1" x14ac:dyDescent="0.25">
      <c r="A68" s="168" t="s">
        <v>512</v>
      </c>
      <c r="B68" s="383">
        <f>+VLOOKUP(D68,TABLAS!$J$13:$L$19,2,FALSE)*C68</f>
        <v>5.7600000000000007</v>
      </c>
      <c r="C68" s="369">
        <v>2.4</v>
      </c>
      <c r="D68" s="518" t="s">
        <v>1846</v>
      </c>
      <c r="E68" s="516"/>
      <c r="F68" s="516"/>
      <c r="G68" s="100"/>
      <c r="H68" s="100"/>
      <c r="I68" s="100"/>
      <c r="J68" s="100"/>
    </row>
    <row r="69" spans="1:10" s="1" customFormat="1" ht="15" customHeight="1" x14ac:dyDescent="0.25">
      <c r="A69" s="168" t="s">
        <v>512</v>
      </c>
      <c r="B69" s="383">
        <v>0.84</v>
      </c>
      <c r="C69" s="369">
        <v>2.4</v>
      </c>
      <c r="D69" s="518" t="s">
        <v>1913</v>
      </c>
      <c r="E69" s="516"/>
      <c r="F69" s="516"/>
      <c r="G69" s="100"/>
      <c r="H69" s="100"/>
      <c r="I69" s="100"/>
      <c r="J69" s="100"/>
    </row>
    <row r="70" spans="1:10" s="1" customFormat="1" ht="15" customHeight="1" x14ac:dyDescent="0.25">
      <c r="A70" s="168"/>
      <c r="B70" s="423"/>
      <c r="C70" s="370"/>
      <c r="D70" s="168"/>
      <c r="E70" s="168"/>
      <c r="F70" s="168"/>
      <c r="G70" s="100"/>
      <c r="H70" s="100"/>
      <c r="I70" s="100"/>
      <c r="J70" s="100"/>
    </row>
    <row r="71" spans="1:10" s="1" customFormat="1" ht="15" customHeight="1" x14ac:dyDescent="0.25">
      <c r="A71" s="168" t="s">
        <v>512</v>
      </c>
      <c r="B71" s="383">
        <f>+VLOOKUP(D71,TABLAS!$J$13:$L$19,2,FALSE)*C71</f>
        <v>1.8719999999999999</v>
      </c>
      <c r="C71" s="369">
        <v>0.65</v>
      </c>
      <c r="D71" s="518" t="s">
        <v>1946</v>
      </c>
      <c r="E71" s="516"/>
      <c r="F71" s="516"/>
      <c r="G71" s="100"/>
      <c r="H71" s="100"/>
      <c r="I71" s="100"/>
      <c r="J71" s="100"/>
    </row>
    <row r="72" spans="1:10" s="1" customFormat="1" ht="15" customHeight="1" x14ac:dyDescent="0.25">
      <c r="A72" s="168" t="s">
        <v>512</v>
      </c>
      <c r="B72" s="383">
        <f>+VLOOKUP(D72,TABLAS!$J$13:$L$19,2,FALSE)*C72</f>
        <v>3.6000000000000005</v>
      </c>
      <c r="C72" s="369">
        <v>1.5</v>
      </c>
      <c r="D72" s="518" t="s">
        <v>1846</v>
      </c>
      <c r="E72" s="516"/>
      <c r="F72" s="516"/>
      <c r="G72" s="100"/>
      <c r="H72" s="100"/>
      <c r="I72" s="100"/>
      <c r="J72" s="100"/>
    </row>
    <row r="73" spans="1:10" s="1" customFormat="1" ht="15" customHeight="1" x14ac:dyDescent="0.25">
      <c r="A73" s="168" t="s">
        <v>512</v>
      </c>
      <c r="B73" s="383">
        <f>+VLOOKUP(D73,TABLAS!$J$13:$L$19,2,FALSE)*C73</f>
        <v>2.4000000000000004</v>
      </c>
      <c r="C73" s="369">
        <v>1</v>
      </c>
      <c r="D73" s="518" t="s">
        <v>1846</v>
      </c>
      <c r="E73" s="516"/>
      <c r="F73" s="516"/>
      <c r="G73" s="100"/>
      <c r="H73" s="100"/>
      <c r="I73" s="100"/>
      <c r="J73" s="100"/>
    </row>
    <row r="74" spans="1:10" s="1" customFormat="1" ht="15" customHeight="1" x14ac:dyDescent="0.25">
      <c r="A74" s="168" t="s">
        <v>512</v>
      </c>
      <c r="B74" s="383">
        <f>+VLOOKUP(D74,TABLAS!$J$13:$L$19,2,FALSE)*C74</f>
        <v>8.64</v>
      </c>
      <c r="C74" s="369">
        <v>3</v>
      </c>
      <c r="D74" s="518" t="s">
        <v>1946</v>
      </c>
      <c r="E74" s="516"/>
      <c r="F74" s="516"/>
      <c r="G74" s="100"/>
      <c r="H74" s="100"/>
      <c r="I74" s="100"/>
      <c r="J74" s="100"/>
    </row>
    <row r="75" spans="1:10" s="1" customFormat="1" ht="15" customHeight="1" x14ac:dyDescent="0.25">
      <c r="A75" s="168"/>
      <c r="B75" s="423"/>
      <c r="C75" s="370"/>
      <c r="D75" s="168"/>
      <c r="E75" s="168"/>
      <c r="F75" s="168"/>
      <c r="G75" s="100"/>
      <c r="H75" s="100"/>
      <c r="I75" s="100"/>
      <c r="J75" s="100"/>
    </row>
    <row r="76" spans="1:10" s="1" customFormat="1" ht="15" customHeight="1" x14ac:dyDescent="0.25">
      <c r="A76" s="48" t="s">
        <v>1948</v>
      </c>
    </row>
    <row r="77" spans="1:10" s="1" customFormat="1" ht="15" customHeight="1" x14ac:dyDescent="0.25">
      <c r="B77" s="315" t="s">
        <v>1837</v>
      </c>
      <c r="C77" s="315" t="s">
        <v>1838</v>
      </c>
      <c r="D77" s="315" t="s">
        <v>1851</v>
      </c>
      <c r="E77" s="517" t="s">
        <v>1839</v>
      </c>
      <c r="F77" s="517"/>
      <c r="G77" s="517"/>
    </row>
    <row r="78" spans="1:10" s="1" customFormat="1" ht="15" customHeight="1" x14ac:dyDescent="0.25">
      <c r="A78" s="168" t="s">
        <v>512</v>
      </c>
      <c r="B78" s="383">
        <f>+VLOOKUP(E78,TABLAS!$J$13:$L$19,2,FALSE)*C78+0.45*D78</f>
        <v>1.9050000000000002</v>
      </c>
      <c r="C78" s="369">
        <v>0.4</v>
      </c>
      <c r="D78" s="369">
        <v>2.1</v>
      </c>
      <c r="E78" s="518" t="s">
        <v>1846</v>
      </c>
      <c r="F78" s="516"/>
      <c r="G78" s="516"/>
      <c r="H78" s="100"/>
      <c r="I78" s="100"/>
      <c r="J78" s="100"/>
    </row>
    <row r="79" spans="1:10" s="1" customFormat="1" ht="15" customHeight="1" x14ac:dyDescent="0.25">
      <c r="A79" s="168" t="s">
        <v>512</v>
      </c>
      <c r="B79" s="383">
        <f>+VLOOKUP(E79,TABLAS!$J$13:$L$19,2,FALSE)*C79+0.45*D79</f>
        <v>2.8800000000000008</v>
      </c>
      <c r="C79" s="369">
        <v>0.9</v>
      </c>
      <c r="D79" s="369">
        <v>1.6</v>
      </c>
      <c r="E79" s="518" t="s">
        <v>1846</v>
      </c>
      <c r="F79" s="516"/>
      <c r="G79" s="516"/>
      <c r="H79" s="100"/>
      <c r="I79" s="100"/>
      <c r="J79" s="100"/>
    </row>
    <row r="80" spans="1:10" s="1" customFormat="1" ht="15" customHeight="1" x14ac:dyDescent="0.25">
      <c r="A80" s="168" t="s">
        <v>512</v>
      </c>
      <c r="B80" s="383">
        <f>+VLOOKUP(E80,TABLAS!$J$13:$L$19,2,FALSE)*C80+0.45*D80</f>
        <v>3.8700000000000006</v>
      </c>
      <c r="C80" s="369">
        <v>1.5</v>
      </c>
      <c r="D80" s="369">
        <v>0.6</v>
      </c>
      <c r="E80" s="518" t="s">
        <v>1846</v>
      </c>
      <c r="F80" s="516"/>
      <c r="G80" s="516"/>
      <c r="H80" s="100"/>
      <c r="I80" s="100"/>
      <c r="J80" s="100"/>
    </row>
    <row r="81" spans="1:19" s="1" customFormat="1" ht="15" customHeight="1" x14ac:dyDescent="0.25"/>
    <row r="82" spans="1:19" s="1" customFormat="1" ht="18" customHeight="1" x14ac:dyDescent="0.25">
      <c r="A82" s="48" t="s">
        <v>1919</v>
      </c>
      <c r="B82" s="25"/>
      <c r="I82" s="427"/>
      <c r="J82"/>
      <c r="K82" s="45"/>
      <c r="L82" s="45"/>
      <c r="M82" s="45"/>
      <c r="N82" s="45"/>
      <c r="O82" s="45"/>
      <c r="P82" s="45"/>
      <c r="Q82" s="45"/>
      <c r="R82" s="45"/>
      <c r="S82" s="45"/>
    </row>
    <row r="83" spans="1:19" s="1" customFormat="1" ht="18" customHeight="1" x14ac:dyDescent="0.25">
      <c r="A83" s="168" t="s">
        <v>428</v>
      </c>
      <c r="B83" s="209">
        <v>0.2</v>
      </c>
      <c r="C83" s="169" t="s">
        <v>1920</v>
      </c>
      <c r="D83" s="100"/>
      <c r="E83" s="100"/>
      <c r="F83" s="100"/>
      <c r="G83" s="100"/>
      <c r="H83" s="428"/>
      <c r="I83" s="427"/>
      <c r="J83"/>
      <c r="K83" s="45"/>
      <c r="L83" s="45"/>
      <c r="M83" s="45"/>
      <c r="N83" s="45"/>
      <c r="O83" s="45"/>
      <c r="P83" s="45"/>
      <c r="Q83" s="45"/>
      <c r="R83" s="45"/>
      <c r="S83" s="45"/>
    </row>
    <row r="84" spans="1:19" s="1" customFormat="1" ht="18" customHeight="1" x14ac:dyDescent="0.25">
      <c r="A84" s="168" t="s">
        <v>428</v>
      </c>
      <c r="B84" s="209">
        <v>0.1</v>
      </c>
      <c r="C84" s="169" t="s">
        <v>1921</v>
      </c>
      <c r="D84" s="100"/>
      <c r="E84" s="100"/>
      <c r="F84" s="100"/>
      <c r="G84" s="100"/>
      <c r="H84" s="428"/>
      <c r="I84" s="427"/>
      <c r="J84"/>
      <c r="K84" s="45"/>
      <c r="L84" s="45"/>
      <c r="M84" s="45"/>
      <c r="N84" s="45"/>
      <c r="O84" s="45"/>
      <c r="P84" s="45"/>
      <c r="Q84" s="45"/>
      <c r="R84" s="45"/>
      <c r="S84" s="45"/>
    </row>
    <row r="85" spans="1:19" s="1" customFormat="1" ht="18" customHeight="1" x14ac:dyDescent="0.25">
      <c r="A85" s="168" t="s">
        <v>428</v>
      </c>
      <c r="B85" s="209">
        <v>0.2</v>
      </c>
      <c r="C85" s="169" t="s">
        <v>1922</v>
      </c>
      <c r="D85" s="100"/>
      <c r="E85" s="100"/>
      <c r="F85" s="100"/>
      <c r="G85" s="100"/>
      <c r="H85" s="428"/>
      <c r="I85" s="427"/>
      <c r="J85"/>
      <c r="K85" s="45"/>
      <c r="L85" s="45"/>
      <c r="M85" s="45"/>
      <c r="N85" s="45"/>
      <c r="O85" s="45"/>
      <c r="P85" s="45"/>
      <c r="Q85" s="45"/>
      <c r="R85" s="45"/>
      <c r="S85" s="45"/>
    </row>
    <row r="86" spans="1:19" s="1" customFormat="1" ht="18" customHeight="1" x14ac:dyDescent="0.25">
      <c r="A86" s="429" t="s">
        <v>135</v>
      </c>
      <c r="B86" s="430">
        <f>SUM(B83:B85)</f>
        <v>0.5</v>
      </c>
      <c r="C86" s="1" t="s">
        <v>1923</v>
      </c>
      <c r="D86" s="431">
        <f>+B86/B45</f>
        <v>2.0833333333333332E-2</v>
      </c>
      <c r="I86" s="427"/>
      <c r="J86"/>
      <c r="K86" s="45"/>
      <c r="L86" s="45"/>
      <c r="M86" s="45"/>
      <c r="N86" s="45"/>
      <c r="O86" s="45"/>
      <c r="P86" s="45"/>
      <c r="Q86" s="45"/>
      <c r="R86" s="45"/>
      <c r="S86" s="45"/>
    </row>
    <row r="87" spans="1:19" s="1" customFormat="1" ht="18" customHeight="1" x14ac:dyDescent="0.25">
      <c r="A87" s="168" t="s">
        <v>1924</v>
      </c>
      <c r="B87" s="383">
        <f>+VLOOKUP(D87,TABLAS!$J$13:$L$19,2,FALSE)*C87</f>
        <v>2.8800000000000003</v>
      </c>
      <c r="C87" s="369">
        <v>1.2</v>
      </c>
      <c r="D87" s="518" t="s">
        <v>1846</v>
      </c>
      <c r="E87" s="516"/>
      <c r="F87" s="516"/>
      <c r="G87" s="100"/>
      <c r="H87" s="428"/>
      <c r="I87" s="427"/>
      <c r="J87"/>
      <c r="K87" s="45"/>
      <c r="L87" s="45"/>
      <c r="M87" s="45"/>
      <c r="N87" s="45"/>
      <c r="O87" s="45"/>
      <c r="P87" s="45"/>
      <c r="Q87" s="45"/>
      <c r="R87" s="45"/>
      <c r="S87" s="45"/>
    </row>
    <row r="88" spans="1:19" s="1" customFormat="1" ht="18" customHeight="1" x14ac:dyDescent="0.25">
      <c r="I88" s="427"/>
      <c r="J88"/>
      <c r="K88" s="45"/>
      <c r="L88" s="45"/>
      <c r="M88" s="45"/>
      <c r="N88" s="45"/>
      <c r="O88" s="45"/>
      <c r="P88" s="45"/>
      <c r="Q88" s="45"/>
      <c r="R88" s="45"/>
      <c r="S88" s="45"/>
    </row>
    <row r="89" spans="1:19" s="1" customFormat="1" ht="18" customHeight="1" x14ac:dyDescent="0.25">
      <c r="A89" s="48" t="s">
        <v>1925</v>
      </c>
      <c r="B89" s="430"/>
      <c r="D89" s="431"/>
      <c r="I89" s="427"/>
      <c r="J89"/>
      <c r="K89" s="45"/>
      <c r="L89" s="45"/>
      <c r="M89" s="45"/>
      <c r="N89" s="45"/>
      <c r="O89" s="45"/>
      <c r="P89" s="45"/>
      <c r="Q89" s="45"/>
      <c r="R89" s="45"/>
      <c r="S89" s="45"/>
    </row>
    <row r="90" spans="1:19" s="1" customFormat="1" ht="18" customHeight="1" x14ac:dyDescent="0.25">
      <c r="A90" s="168" t="s">
        <v>428</v>
      </c>
      <c r="B90" s="209">
        <v>9.5000000000000001E-2</v>
      </c>
      <c r="C90" s="169" t="s">
        <v>1926</v>
      </c>
      <c r="D90" s="100"/>
      <c r="E90" s="100"/>
      <c r="F90" s="100"/>
      <c r="G90" s="100"/>
      <c r="H90" s="428"/>
      <c r="I90" s="427"/>
      <c r="J90"/>
      <c r="K90" s="45"/>
      <c r="L90" s="45"/>
      <c r="M90" s="45"/>
      <c r="N90" s="45"/>
      <c r="O90" s="45"/>
      <c r="P90" s="45"/>
      <c r="Q90" s="45"/>
      <c r="R90" s="45"/>
      <c r="S90" s="45"/>
    </row>
    <row r="91" spans="1:19" s="1" customFormat="1" x14ac:dyDescent="0.25">
      <c r="A91" s="205"/>
      <c r="B91" s="222"/>
      <c r="D91" s="205"/>
      <c r="E91" s="205"/>
      <c r="F91" s="205"/>
      <c r="G91" s="205"/>
      <c r="H91" s="205"/>
      <c r="L91" s="235"/>
    </row>
    <row r="92" spans="1:19" s="1" customFormat="1" ht="15" customHeight="1" x14ac:dyDescent="0.25">
      <c r="A92" s="34" t="s">
        <v>19</v>
      </c>
      <c r="L92" s="234"/>
    </row>
    <row r="93" spans="1:19" s="1" customFormat="1" ht="15" customHeight="1" x14ac:dyDescent="0.25">
      <c r="A93" s="34" t="s">
        <v>1915</v>
      </c>
      <c r="B93" s="25"/>
    </row>
    <row r="94" spans="1:19" s="1" customFormat="1" ht="15" customHeight="1" x14ac:dyDescent="0.25">
      <c r="B94" s="315" t="s">
        <v>1837</v>
      </c>
      <c r="C94" s="182" t="s">
        <v>1879</v>
      </c>
      <c r="D94" s="517" t="s">
        <v>1878</v>
      </c>
      <c r="E94" s="517"/>
      <c r="F94" s="517"/>
    </row>
    <row r="95" spans="1:19" s="100" customFormat="1" ht="15" customHeight="1" x14ac:dyDescent="0.25">
      <c r="A95" s="102" t="s">
        <v>144</v>
      </c>
      <c r="B95" s="382" cm="1">
        <f t="array" ref="B95">+_xlfn.XLOOKUP(1,(TABLAS!$I$23:$I$41='Análisis de Cargas'!C95) * (TABLAS!$J$23:$J$41='Análisis de Cargas'!D95),TABLAS!$K$23:$K$41,"No encontrado")</f>
        <v>1.8</v>
      </c>
      <c r="C95" s="233" t="s">
        <v>1863</v>
      </c>
      <c r="D95" s="516" t="s">
        <v>1864</v>
      </c>
      <c r="E95" s="516"/>
      <c r="F95" s="516"/>
      <c r="G95" s="516"/>
    </row>
    <row r="96" spans="1:19" s="100" customFormat="1" ht="15" customHeight="1" x14ac:dyDescent="0.25">
      <c r="A96" s="102" t="s">
        <v>144</v>
      </c>
      <c r="B96" s="382" cm="1">
        <f t="array" ref="B96">+_xlfn.XLOOKUP(1,(TABLAS!$I$23:$I$41='Análisis de Cargas'!C96) * (TABLAS!$J$23:$J$41='Análisis de Cargas'!D96),TABLAS!$K$23:$K$41,"No encontrado")</f>
        <v>3</v>
      </c>
      <c r="C96" s="233" t="s">
        <v>1863</v>
      </c>
      <c r="D96" s="516" t="s">
        <v>1865</v>
      </c>
      <c r="E96" s="516"/>
      <c r="F96" s="516"/>
      <c r="G96" s="516"/>
    </row>
    <row r="97" spans="1:12" s="100" customFormat="1" ht="15" customHeight="1" x14ac:dyDescent="0.25">
      <c r="A97" s="102" t="s">
        <v>144</v>
      </c>
      <c r="B97" s="382" cm="1">
        <f t="array" ref="B97">+_xlfn.XLOOKUP(1,(TABLAS!$I$23:$I$41='Análisis de Cargas'!C97) * (TABLAS!$J$23:$J$41='Análisis de Cargas'!D97),TABLAS!$K$23:$K$41,"No encontrado")</f>
        <v>5</v>
      </c>
      <c r="C97" s="233" t="s">
        <v>1863</v>
      </c>
      <c r="D97" s="516" t="s">
        <v>1855</v>
      </c>
      <c r="E97" s="516"/>
      <c r="F97" s="516"/>
      <c r="G97" s="516"/>
    </row>
    <row r="98" spans="1:12" s="45" customFormat="1" ht="15" customHeight="1" x14ac:dyDescent="0.25">
      <c r="A98" s="425"/>
      <c r="B98" s="424"/>
      <c r="C98" s="171"/>
      <c r="D98" s="426"/>
      <c r="E98" s="426"/>
      <c r="F98" s="426"/>
      <c r="G98" s="426"/>
    </row>
    <row r="99" spans="1:12" s="45" customFormat="1" ht="15" customHeight="1" x14ac:dyDescent="0.25">
      <c r="A99" s="34" t="s">
        <v>1914</v>
      </c>
      <c r="B99" s="424"/>
      <c r="C99" s="171"/>
      <c r="D99" s="426"/>
      <c r="E99" s="426"/>
      <c r="F99" s="426"/>
      <c r="G99" s="426"/>
    </row>
    <row r="100" spans="1:12" s="100" customFormat="1" ht="15" customHeight="1" x14ac:dyDescent="0.25">
      <c r="A100" s="102" t="s">
        <v>1916</v>
      </c>
      <c r="B100" s="169"/>
      <c r="C100" s="172">
        <v>0.5</v>
      </c>
      <c r="D100" s="169" t="s">
        <v>1917</v>
      </c>
      <c r="E100" s="168"/>
      <c r="F100" s="168"/>
      <c r="G100" s="168"/>
    </row>
    <row r="101" spans="1:12" s="100" customFormat="1" x14ac:dyDescent="0.25">
      <c r="A101" s="102" t="s">
        <v>1916</v>
      </c>
      <c r="B101" s="169"/>
      <c r="C101" s="172">
        <v>1.8</v>
      </c>
      <c r="D101" s="169" t="s">
        <v>1918</v>
      </c>
      <c r="E101" s="168"/>
      <c r="F101" s="168"/>
      <c r="G101" s="168"/>
    </row>
    <row r="102" spans="1:12" s="1" customFormat="1" x14ac:dyDescent="0.25">
      <c r="A102" s="205"/>
      <c r="B102" s="222"/>
      <c r="C102" s="205"/>
      <c r="D102" s="205"/>
      <c r="E102" s="205"/>
      <c r="F102" s="205"/>
      <c r="G102" s="205"/>
      <c r="H102" s="205"/>
      <c r="J102" s="2"/>
      <c r="K102" s="2"/>
      <c r="L102" s="235"/>
    </row>
    <row r="103" spans="1:12" s="1" customFormat="1" ht="15" customHeight="1" x14ac:dyDescent="0.25">
      <c r="A103" s="34" t="s">
        <v>31</v>
      </c>
    </row>
    <row r="104" spans="1:12" s="100" customFormat="1" ht="15" customHeight="1" x14ac:dyDescent="0.25">
      <c r="A104" s="102" t="s">
        <v>33</v>
      </c>
      <c r="B104" s="103"/>
      <c r="C104" s="169" t="s">
        <v>515</v>
      </c>
    </row>
    <row r="105" spans="1:12" s="100" customFormat="1" ht="15" customHeight="1" x14ac:dyDescent="0.25">
      <c r="A105" s="102" t="s">
        <v>662</v>
      </c>
      <c r="D105" s="104"/>
    </row>
    <row r="106" spans="1:12" s="1" customFormat="1" ht="5.0999999999999996" customHeight="1" x14ac:dyDescent="0.25">
      <c r="A106" s="11"/>
      <c r="C106" s="26"/>
      <c r="D106" s="8"/>
    </row>
    <row r="107" spans="1:12" s="1" customFormat="1" ht="15" customHeight="1" x14ac:dyDescent="0.25">
      <c r="A107" s="34" t="s">
        <v>32</v>
      </c>
      <c r="B107" s="34"/>
      <c r="C107" s="34"/>
      <c r="D107" s="34"/>
      <c r="E107" s="34"/>
      <c r="F107" s="157"/>
    </row>
    <row r="108" spans="1:12" ht="15" customHeight="1" x14ac:dyDescent="0.25">
      <c r="A108" s="157" t="s">
        <v>663</v>
      </c>
    </row>
    <row r="109" spans="1:12" ht="15" customHeight="1" x14ac:dyDescent="0.25">
      <c r="A109" s="157" t="s">
        <v>664</v>
      </c>
    </row>
    <row r="110" spans="1:12" ht="15" customHeight="1" x14ac:dyDescent="0.35">
      <c r="A110" s="241" t="s">
        <v>665</v>
      </c>
      <c r="B110" s="242">
        <v>13.8</v>
      </c>
      <c r="C110" s="251" t="s">
        <v>674</v>
      </c>
      <c r="D110" s="244" t="s">
        <v>666</v>
      </c>
      <c r="E110" s="245">
        <v>0.46</v>
      </c>
    </row>
    <row r="111" spans="1:12" ht="15" customHeight="1" x14ac:dyDescent="0.35">
      <c r="A111" s="241" t="s">
        <v>667</v>
      </c>
      <c r="B111" s="242">
        <v>21</v>
      </c>
      <c r="C111" s="243" t="s">
        <v>410</v>
      </c>
      <c r="D111" s="244" t="s">
        <v>668</v>
      </c>
      <c r="E111" s="245"/>
      <c r="G111" s="1"/>
      <c r="I111">
        <f>0.021*B110*E110*3.553</f>
        <v>0.47364332400000014</v>
      </c>
    </row>
    <row r="112" spans="1:12" ht="15" customHeight="1" x14ac:dyDescent="0.35">
      <c r="A112" s="246" t="s">
        <v>669</v>
      </c>
      <c r="B112" s="247">
        <v>0.66666666666666696</v>
      </c>
      <c r="C112" s="252"/>
      <c r="D112" s="244" t="s">
        <v>670</v>
      </c>
      <c r="E112" s="248">
        <f>1-SIN(RADIANS(B111))</f>
        <v>0.64163205045469973</v>
      </c>
    </row>
    <row r="113" spans="1:10" ht="15" customHeight="1" thickBot="1" x14ac:dyDescent="0.4">
      <c r="A113" s="241" t="s">
        <v>671</v>
      </c>
      <c r="B113" s="247">
        <f>+B111*B112</f>
        <v>14.000000000000007</v>
      </c>
      <c r="C113" s="243" t="s">
        <v>410</v>
      </c>
      <c r="D113" s="249" t="s">
        <v>672</v>
      </c>
      <c r="E113" s="250"/>
      <c r="J113" s="157" t="s">
        <v>688</v>
      </c>
    </row>
    <row r="114" spans="1:10" ht="15" customHeight="1" x14ac:dyDescent="0.3">
      <c r="A114" s="241" t="s">
        <v>673</v>
      </c>
      <c r="B114" s="247">
        <f>+COS(RADIANS(B113))</f>
        <v>0.97029572627599647</v>
      </c>
      <c r="C114" s="252"/>
    </row>
    <row r="115" spans="1:10" ht="15" customHeight="1" x14ac:dyDescent="0.25"/>
    <row r="116" spans="1:10" ht="15" customHeight="1" x14ac:dyDescent="0.25">
      <c r="A116" s="521" t="s">
        <v>675</v>
      </c>
      <c r="B116" s="521"/>
      <c r="C116" s="521"/>
      <c r="D116" s="521"/>
      <c r="E116" s="521"/>
      <c r="F116" s="521"/>
      <c r="G116" s="521"/>
    </row>
    <row r="117" spans="1:10" ht="15" customHeight="1" x14ac:dyDescent="0.25">
      <c r="A117" s="163" t="s">
        <v>676</v>
      </c>
      <c r="B117" s="163" t="s">
        <v>681</v>
      </c>
      <c r="C117" s="520" t="s">
        <v>677</v>
      </c>
      <c r="D117" s="520"/>
      <c r="E117" s="520" t="s">
        <v>724</v>
      </c>
      <c r="F117" s="520"/>
      <c r="G117" s="520"/>
      <c r="H117" s="1"/>
    </row>
    <row r="118" spans="1:10" ht="15" customHeight="1" x14ac:dyDescent="0.25">
      <c r="A118" s="227">
        <v>0</v>
      </c>
      <c r="B118" s="253">
        <v>0</v>
      </c>
      <c r="C118" s="227" t="s">
        <v>678</v>
      </c>
      <c r="D118" s="296">
        <v>-0.2331</v>
      </c>
      <c r="E118" s="227" t="s">
        <v>57</v>
      </c>
      <c r="F118" s="255">
        <f>1/D118</f>
        <v>-4.2900042900042896</v>
      </c>
      <c r="G118" s="227" t="s">
        <v>679</v>
      </c>
      <c r="H118" s="1"/>
    </row>
    <row r="119" spans="1:10" ht="15" customHeight="1" x14ac:dyDescent="0.25">
      <c r="A119" s="227">
        <v>-2.52</v>
      </c>
      <c r="B119" s="253">
        <f>ABS(A119*B110*B114*E112)</f>
        <v>21.650592958573359</v>
      </c>
      <c r="C119" s="227" t="s">
        <v>680</v>
      </c>
      <c r="D119" s="254">
        <v>1.85</v>
      </c>
      <c r="E119" s="227" t="s">
        <v>43</v>
      </c>
      <c r="F119" s="284">
        <f>-D119/D118</f>
        <v>7.9365079365079367</v>
      </c>
      <c r="G119" s="227" t="s">
        <v>680</v>
      </c>
      <c r="H119" s="1"/>
    </row>
    <row r="120" spans="1:10" ht="15" customHeight="1" x14ac:dyDescent="0.25">
      <c r="F120" s="1"/>
      <c r="G120" s="1"/>
      <c r="H120" s="1"/>
    </row>
    <row r="121" spans="1:10" ht="15" customHeight="1" x14ac:dyDescent="0.25">
      <c r="F121" s="1"/>
      <c r="G121" s="1"/>
      <c r="H121" s="1"/>
    </row>
    <row r="122" spans="1:10" ht="15" customHeight="1" x14ac:dyDescent="0.25">
      <c r="F122" s="1"/>
      <c r="G122" s="1"/>
      <c r="H122" s="1"/>
    </row>
    <row r="123" spans="1:10" ht="15" customHeight="1" x14ac:dyDescent="0.25"/>
    <row r="124" spans="1:10" ht="15" customHeight="1" x14ac:dyDescent="0.25"/>
    <row r="125" spans="1:10" ht="15" customHeight="1" x14ac:dyDescent="0.25"/>
    <row r="126" spans="1:10" ht="15" customHeight="1" x14ac:dyDescent="0.25"/>
    <row r="127" spans="1:10" ht="15" customHeight="1" x14ac:dyDescent="0.25"/>
    <row r="128" spans="1:10" ht="15" customHeight="1" x14ac:dyDescent="0.25"/>
    <row r="129" spans="1:21" ht="15" customHeight="1" x14ac:dyDescent="0.25"/>
    <row r="130" spans="1:21" ht="15" customHeight="1" x14ac:dyDescent="0.25"/>
    <row r="132" spans="1:21" s="1" customFormat="1" ht="15" customHeight="1" x14ac:dyDescent="0.25">
      <c r="A132" s="34" t="s">
        <v>34</v>
      </c>
      <c r="B132" s="34"/>
      <c r="C132" s="34"/>
      <c r="D132" s="34"/>
      <c r="E132" s="34"/>
      <c r="K132" s="19"/>
      <c r="L132" s="19"/>
      <c r="M132" s="19"/>
      <c r="N132" s="19"/>
    </row>
    <row r="133" spans="1:21" s="100" customFormat="1" ht="15" customHeight="1" x14ac:dyDescent="0.25">
      <c r="A133" s="170" t="s">
        <v>502</v>
      </c>
      <c r="B133" s="110"/>
      <c r="C133" s="110"/>
      <c r="D133" s="111"/>
      <c r="E133" s="110"/>
      <c r="F133" s="110"/>
      <c r="G133" s="110"/>
      <c r="H133" s="110"/>
      <c r="I133" s="112"/>
    </row>
    <row r="134" spans="1:21" s="100" customFormat="1" x14ac:dyDescent="0.25">
      <c r="A134" s="113" t="s">
        <v>163</v>
      </c>
      <c r="B134" s="114"/>
      <c r="C134" s="114"/>
      <c r="D134" s="115"/>
      <c r="E134" s="114"/>
      <c r="F134" s="114"/>
      <c r="G134" s="114"/>
      <c r="H134" s="114"/>
      <c r="I134" s="116"/>
    </row>
    <row r="135" spans="1:21" s="45" customFormat="1" x14ac:dyDescent="0.25">
      <c r="A135" s="446" t="s">
        <v>428</v>
      </c>
      <c r="B135" s="447">
        <v>0.74</v>
      </c>
      <c r="C135" s="445" t="s">
        <v>1949</v>
      </c>
      <c r="D135" s="444"/>
      <c r="E135" s="100"/>
      <c r="F135" s="100"/>
      <c r="G135" s="100"/>
      <c r="H135" s="100"/>
      <c r="I135" s="100"/>
    </row>
    <row r="136" spans="1:21" s="45" customFormat="1" x14ac:dyDescent="0.25">
      <c r="A136" s="153"/>
      <c r="D136" s="153"/>
    </row>
    <row r="137" spans="1:21" s="45" customFormat="1" x14ac:dyDescent="0.25">
      <c r="A137" s="153"/>
    </row>
    <row r="138" spans="1:21" ht="13.8" thickBot="1" x14ac:dyDescent="0.3">
      <c r="A138" s="8"/>
    </row>
    <row r="139" spans="1:21" ht="13.8" thickBot="1" x14ac:dyDescent="0.3">
      <c r="B139" s="510" t="s">
        <v>1931</v>
      </c>
      <c r="C139" s="511"/>
      <c r="D139" s="511"/>
      <c r="E139" s="511"/>
      <c r="F139" s="511"/>
      <c r="G139" s="512"/>
      <c r="I139" s="510" t="s">
        <v>1932</v>
      </c>
      <c r="J139" s="511"/>
      <c r="K139" s="511"/>
      <c r="L139" s="511"/>
      <c r="M139" s="511"/>
      <c r="N139" s="512"/>
      <c r="P139" s="510" t="s">
        <v>1933</v>
      </c>
      <c r="Q139" s="511"/>
      <c r="R139" s="511"/>
      <c r="S139" s="511"/>
      <c r="T139" s="511"/>
      <c r="U139" s="512"/>
    </row>
    <row r="140" spans="1:21" x14ac:dyDescent="0.25">
      <c r="B140" s="513" t="s">
        <v>457</v>
      </c>
      <c r="C140" s="514"/>
      <c r="D140" s="514"/>
      <c r="E140" s="207" t="s">
        <v>458</v>
      </c>
      <c r="F140" s="207">
        <v>24</v>
      </c>
      <c r="G140" s="208" t="s">
        <v>459</v>
      </c>
      <c r="I140" s="513" t="s">
        <v>457</v>
      </c>
      <c r="J140" s="514"/>
      <c r="K140" s="514"/>
      <c r="L140" s="207" t="s">
        <v>458</v>
      </c>
      <c r="M140" s="207">
        <v>24</v>
      </c>
      <c r="N140" s="208" t="s">
        <v>459</v>
      </c>
      <c r="P140" s="206" t="s">
        <v>1934</v>
      </c>
      <c r="Q140" s="207">
        <v>2.6</v>
      </c>
      <c r="R140" s="434" t="s">
        <v>409</v>
      </c>
      <c r="S140" s="207" t="s">
        <v>458</v>
      </c>
      <c r="T140" s="207">
        <v>24</v>
      </c>
      <c r="U140" s="208" t="s">
        <v>459</v>
      </c>
    </row>
    <row r="141" spans="1:21" ht="13.8" thickBot="1" x14ac:dyDescent="0.3">
      <c r="B141" s="203" t="s">
        <v>1935</v>
      </c>
      <c r="C141" s="214">
        <v>3.86</v>
      </c>
      <c r="D141" t="s">
        <v>409</v>
      </c>
      <c r="G141" s="210"/>
      <c r="I141" s="203" t="s">
        <v>1935</v>
      </c>
      <c r="J141" s="214">
        <v>3.18</v>
      </c>
      <c r="K141" t="s">
        <v>409</v>
      </c>
      <c r="N141" s="210"/>
      <c r="P141" s="212" t="s">
        <v>1936</v>
      </c>
      <c r="Q141">
        <v>1.07</v>
      </c>
      <c r="R141" s="157" t="s">
        <v>409</v>
      </c>
      <c r="U141" s="210"/>
    </row>
    <row r="142" spans="1:21" ht="13.8" thickBot="1" x14ac:dyDescent="0.3">
      <c r="B142" s="203" t="s">
        <v>1937</v>
      </c>
      <c r="C142" s="214">
        <v>1.7</v>
      </c>
      <c r="D142" t="s">
        <v>409</v>
      </c>
      <c r="G142" s="210"/>
      <c r="I142" s="203" t="s">
        <v>460</v>
      </c>
      <c r="J142" s="214">
        <v>2</v>
      </c>
      <c r="K142" t="s">
        <v>409</v>
      </c>
      <c r="N142" s="210"/>
      <c r="P142" s="515" t="s">
        <v>1938</v>
      </c>
      <c r="Q142" s="514"/>
      <c r="R142" s="514"/>
      <c r="U142" s="210"/>
    </row>
    <row r="143" spans="1:21" ht="13.8" thickBot="1" x14ac:dyDescent="0.3">
      <c r="B143" s="203" t="s">
        <v>460</v>
      </c>
      <c r="C143" s="214">
        <v>1.1499999999999999</v>
      </c>
      <c r="D143" t="s">
        <v>409</v>
      </c>
      <c r="G143" s="210"/>
      <c r="I143" s="203" t="s">
        <v>461</v>
      </c>
      <c r="J143" s="214">
        <v>2.42</v>
      </c>
      <c r="K143" t="s">
        <v>409</v>
      </c>
      <c r="N143" s="210"/>
      <c r="P143" s="212" t="s">
        <v>1939</v>
      </c>
      <c r="Q143" s="214">
        <f>0.25*T140*Q140</f>
        <v>15.600000000000001</v>
      </c>
      <c r="R143" s="185" t="s">
        <v>469</v>
      </c>
      <c r="U143" s="210"/>
    </row>
    <row r="144" spans="1:21" ht="13.8" thickBot="1" x14ac:dyDescent="0.3">
      <c r="B144" s="203" t="s">
        <v>461</v>
      </c>
      <c r="C144" s="214">
        <v>2.42</v>
      </c>
      <c r="D144" t="s">
        <v>409</v>
      </c>
      <c r="G144" s="210"/>
      <c r="I144" s="203" t="s">
        <v>462</v>
      </c>
      <c r="J144" s="214">
        <v>0.15</v>
      </c>
      <c r="N144" s="210"/>
      <c r="P144" s="212" t="s">
        <v>1940</v>
      </c>
      <c r="Q144" s="214">
        <f>0.25*T140*Q141</f>
        <v>6.42</v>
      </c>
      <c r="R144" s="185" t="s">
        <v>469</v>
      </c>
      <c r="U144" s="210"/>
    </row>
    <row r="145" spans="2:21" ht="13.8" thickBot="1" x14ac:dyDescent="0.3">
      <c r="B145" s="203" t="s">
        <v>462</v>
      </c>
      <c r="C145" s="214">
        <v>0.15</v>
      </c>
      <c r="D145" t="s">
        <v>409</v>
      </c>
      <c r="G145" s="210"/>
      <c r="I145" s="506"/>
      <c r="J145" s="507"/>
      <c r="K145" s="507"/>
      <c r="N145" s="210"/>
      <c r="P145" s="506" t="s">
        <v>472</v>
      </c>
      <c r="Q145" s="507"/>
      <c r="R145" s="507"/>
      <c r="U145" s="210"/>
    </row>
    <row r="146" spans="2:21" ht="13.8" thickBot="1" x14ac:dyDescent="0.3">
      <c r="B146" s="203"/>
      <c r="G146" s="210"/>
      <c r="I146" s="203"/>
      <c r="J146" s="293"/>
      <c r="N146" s="210"/>
      <c r="P146" s="212" t="s">
        <v>1941</v>
      </c>
      <c r="Q146" s="293">
        <f>(0.5+5)*Q140</f>
        <v>14.3</v>
      </c>
      <c r="R146" s="185" t="s">
        <v>469</v>
      </c>
      <c r="U146" s="210"/>
    </row>
    <row r="147" spans="2:21" ht="13.8" thickBot="1" x14ac:dyDescent="0.3">
      <c r="B147" s="506" t="s">
        <v>463</v>
      </c>
      <c r="C147" s="507"/>
      <c r="D147" s="507"/>
      <c r="G147" s="210"/>
      <c r="I147" s="203"/>
      <c r="J147" s="214"/>
      <c r="N147" s="210"/>
      <c r="P147" s="212" t="s">
        <v>1942</v>
      </c>
      <c r="Q147" s="435">
        <f>(5+0.5)*Q141</f>
        <v>5.8850000000000007</v>
      </c>
      <c r="R147" s="185" t="s">
        <v>469</v>
      </c>
      <c r="S147" s="204"/>
      <c r="T147" s="204"/>
      <c r="U147" s="213"/>
    </row>
    <row r="148" spans="2:21" x14ac:dyDescent="0.25">
      <c r="B148" s="203" t="s">
        <v>464</v>
      </c>
      <c r="C148" s="293">
        <f>+C144/15</f>
        <v>0.16133333333333333</v>
      </c>
      <c r="D148" t="s">
        <v>409</v>
      </c>
      <c r="G148" s="210"/>
      <c r="I148" s="203"/>
      <c r="N148" s="210"/>
      <c r="P148" s="203"/>
      <c r="U148" s="210"/>
    </row>
    <row r="149" spans="2:21" x14ac:dyDescent="0.25">
      <c r="B149" s="203" t="s">
        <v>465</v>
      </c>
      <c r="C149" s="214">
        <v>0.28000000000000003</v>
      </c>
      <c r="D149" t="s">
        <v>409</v>
      </c>
      <c r="G149" s="210"/>
      <c r="I149" s="211"/>
      <c r="J149" s="67"/>
      <c r="K149" s="67"/>
      <c r="N149" s="210"/>
      <c r="P149" s="211"/>
      <c r="Q149" s="67"/>
      <c r="R149" s="67"/>
      <c r="U149" s="210"/>
    </row>
    <row r="150" spans="2:21" x14ac:dyDescent="0.25">
      <c r="B150" s="203" t="s">
        <v>466</v>
      </c>
      <c r="C150">
        <f>C149*C148/2*C143</f>
        <v>2.5974666666666667E-2</v>
      </c>
      <c r="D150" t="s">
        <v>467</v>
      </c>
      <c r="G150" s="210"/>
      <c r="I150" s="203"/>
      <c r="N150" s="210"/>
      <c r="P150" s="211"/>
      <c r="Q150" s="67"/>
      <c r="R150" s="67"/>
      <c r="U150" s="210"/>
    </row>
    <row r="151" spans="2:21" x14ac:dyDescent="0.25">
      <c r="B151" s="211" t="s">
        <v>468</v>
      </c>
      <c r="C151" s="67">
        <f>C150*F140/(C143*C149)</f>
        <v>1.9359999999999997</v>
      </c>
      <c r="D151" s="67" t="s">
        <v>411</v>
      </c>
      <c r="G151" s="210"/>
      <c r="I151" s="506" t="s">
        <v>470</v>
      </c>
      <c r="J151" s="507"/>
      <c r="K151" s="507"/>
      <c r="N151" s="210"/>
      <c r="P151" s="211"/>
      <c r="Q151" s="67"/>
      <c r="R151" s="67"/>
      <c r="U151" s="210"/>
    </row>
    <row r="152" spans="2:21" x14ac:dyDescent="0.25">
      <c r="B152" s="203"/>
      <c r="G152" s="210"/>
      <c r="I152" s="211" t="s">
        <v>1943</v>
      </c>
      <c r="J152" s="67">
        <f>M140*J144</f>
        <v>3.5999999999999996</v>
      </c>
      <c r="K152" s="67" t="s">
        <v>411</v>
      </c>
      <c r="N152" s="210"/>
      <c r="P152" s="211"/>
      <c r="Q152" s="67"/>
      <c r="R152" s="67"/>
      <c r="U152" s="210"/>
    </row>
    <row r="153" spans="2:21" x14ac:dyDescent="0.25">
      <c r="B153" s="506" t="s">
        <v>470</v>
      </c>
      <c r="C153" s="507"/>
      <c r="D153" s="507"/>
      <c r="G153" s="210"/>
      <c r="I153" s="211" t="s">
        <v>471</v>
      </c>
      <c r="J153" s="67">
        <v>1.1000000000000001</v>
      </c>
      <c r="K153" s="67" t="s">
        <v>411</v>
      </c>
      <c r="N153" s="210"/>
      <c r="P153" s="211"/>
      <c r="Q153" s="67"/>
      <c r="R153" s="67"/>
      <c r="U153" s="210"/>
    </row>
    <row r="154" spans="2:21" x14ac:dyDescent="0.25">
      <c r="B154" s="212" t="s">
        <v>1943</v>
      </c>
      <c r="C154" s="157">
        <f>F140*C145</f>
        <v>3.5999999999999996</v>
      </c>
      <c r="D154" s="157" t="s">
        <v>411</v>
      </c>
      <c r="G154" s="210"/>
      <c r="I154" s="211"/>
      <c r="K154" s="67"/>
      <c r="N154" s="210"/>
      <c r="P154" s="211"/>
      <c r="Q154" s="67"/>
      <c r="R154" s="67"/>
      <c r="U154" s="210"/>
    </row>
    <row r="155" spans="2:21" x14ac:dyDescent="0.25">
      <c r="B155" s="212" t="s">
        <v>471</v>
      </c>
      <c r="C155" s="157">
        <v>0.8</v>
      </c>
      <c r="D155" s="157" t="s">
        <v>411</v>
      </c>
      <c r="G155" s="210"/>
      <c r="I155" s="203"/>
      <c r="N155" s="210"/>
      <c r="P155" s="211"/>
      <c r="Q155" s="67"/>
      <c r="R155" s="67"/>
      <c r="U155" s="210"/>
    </row>
    <row r="156" spans="2:21" x14ac:dyDescent="0.25">
      <c r="B156" s="211"/>
      <c r="D156" s="67"/>
      <c r="G156" s="210"/>
      <c r="I156" s="203"/>
      <c r="N156" s="210"/>
      <c r="P156" s="211"/>
      <c r="Q156" s="67"/>
      <c r="R156" s="67"/>
      <c r="U156" s="210"/>
    </row>
    <row r="157" spans="2:21" ht="13.8" thickBot="1" x14ac:dyDescent="0.3">
      <c r="B157" s="203"/>
      <c r="G157" s="210"/>
      <c r="N157" s="210"/>
      <c r="P157" s="211"/>
      <c r="Q157" s="67"/>
      <c r="R157" s="67"/>
      <c r="U157" s="210"/>
    </row>
    <row r="158" spans="2:21" ht="13.8" thickBot="1" x14ac:dyDescent="0.3">
      <c r="B158" s="203"/>
      <c r="G158" s="210"/>
      <c r="I158" s="183"/>
      <c r="J158" s="184"/>
      <c r="K158" s="185"/>
      <c r="N158" s="210"/>
      <c r="P158" s="211"/>
      <c r="Q158" s="67"/>
      <c r="R158" s="67"/>
      <c r="U158" s="210"/>
    </row>
    <row r="159" spans="2:21" ht="13.8" thickBot="1" x14ac:dyDescent="0.3">
      <c r="B159" s="203"/>
      <c r="G159" s="210"/>
      <c r="I159" s="183" t="s">
        <v>510</v>
      </c>
      <c r="J159" s="184">
        <f>(J152+J153)*J141/2</f>
        <v>7.472999999999999</v>
      </c>
      <c r="K159" s="185" t="s">
        <v>469</v>
      </c>
      <c r="N159" s="210"/>
      <c r="P159" s="211"/>
      <c r="Q159" s="67"/>
      <c r="R159" s="67"/>
      <c r="U159" s="210"/>
    </row>
    <row r="160" spans="2:21" ht="13.8" thickBot="1" x14ac:dyDescent="0.3">
      <c r="B160" s="211" t="s">
        <v>1944</v>
      </c>
      <c r="C160" s="436">
        <f>((C154+C155)*(C141/2)+(C154+C155+C151)*(C142/2))</f>
        <v>13.877599999999997</v>
      </c>
      <c r="D160" s="185" t="s">
        <v>469</v>
      </c>
      <c r="G160" s="210"/>
      <c r="I160" s="211" t="s">
        <v>1944</v>
      </c>
      <c r="J160" s="436">
        <f>+J159+J158</f>
        <v>7.472999999999999</v>
      </c>
      <c r="K160" s="185" t="s">
        <v>469</v>
      </c>
      <c r="N160" s="210"/>
      <c r="P160" s="211"/>
      <c r="Q160" s="67"/>
      <c r="R160" s="67"/>
      <c r="U160" s="210"/>
    </row>
    <row r="161" spans="2:21" x14ac:dyDescent="0.25">
      <c r="B161" s="508" t="s">
        <v>472</v>
      </c>
      <c r="C161" s="509"/>
      <c r="D161" s="509"/>
      <c r="G161" s="210"/>
      <c r="I161" s="508" t="s">
        <v>472</v>
      </c>
      <c r="J161" s="509"/>
      <c r="K161" s="509"/>
      <c r="N161" s="210"/>
      <c r="P161" s="211"/>
      <c r="Q161" s="67"/>
      <c r="R161" s="67"/>
      <c r="U161" s="210"/>
    </row>
    <row r="162" spans="2:21" x14ac:dyDescent="0.25">
      <c r="B162" s="212" t="s">
        <v>473</v>
      </c>
      <c r="C162" s="157">
        <v>3</v>
      </c>
      <c r="D162" s="157" t="s">
        <v>411</v>
      </c>
      <c r="G162" s="210"/>
      <c r="I162" s="212" t="s">
        <v>473</v>
      </c>
      <c r="J162" s="157">
        <v>3</v>
      </c>
      <c r="K162" s="157" t="s">
        <v>411</v>
      </c>
      <c r="N162" s="210"/>
      <c r="P162" s="211"/>
      <c r="Q162" s="67"/>
      <c r="R162" s="67"/>
      <c r="U162" s="210"/>
    </row>
    <row r="163" spans="2:21" ht="13.8" thickBot="1" x14ac:dyDescent="0.3">
      <c r="B163" s="203"/>
      <c r="G163" s="210"/>
      <c r="I163" s="203"/>
      <c r="N163" s="210"/>
      <c r="P163" s="211"/>
      <c r="Q163" s="67"/>
      <c r="R163" s="67"/>
      <c r="U163" s="210"/>
    </row>
    <row r="164" spans="2:21" ht="13.8" thickBot="1" x14ac:dyDescent="0.3">
      <c r="B164" s="183"/>
      <c r="C164" s="186"/>
      <c r="D164" s="185"/>
      <c r="G164" s="210"/>
      <c r="I164" s="183"/>
      <c r="J164" s="186"/>
      <c r="K164" s="185"/>
      <c r="N164" s="210"/>
      <c r="P164" s="211"/>
      <c r="Q164" s="67"/>
      <c r="R164" s="67"/>
      <c r="U164" s="210"/>
    </row>
    <row r="165" spans="2:21" ht="13.8" thickBot="1" x14ac:dyDescent="0.3">
      <c r="B165" s="183"/>
      <c r="C165" s="186"/>
      <c r="D165" s="185"/>
      <c r="E165" s="204"/>
      <c r="F165" s="204"/>
      <c r="G165" s="213"/>
      <c r="I165" s="183" t="s">
        <v>1945</v>
      </c>
      <c r="J165" s="186">
        <f>J162*J141/2</f>
        <v>4.7700000000000005</v>
      </c>
      <c r="K165" s="185" t="s">
        <v>469</v>
      </c>
      <c r="L165" s="204"/>
      <c r="M165" s="204"/>
      <c r="N165" s="213"/>
      <c r="P165" s="211"/>
      <c r="Q165" s="67"/>
      <c r="R165" s="67"/>
      <c r="U165" s="210"/>
    </row>
    <row r="166" spans="2:21" ht="13.8" thickBot="1" x14ac:dyDescent="0.3">
      <c r="B166" s="437" t="s">
        <v>1944</v>
      </c>
      <c r="C166" s="438">
        <f>+C162*(C141+C142)/2</f>
        <v>8.34</v>
      </c>
      <c r="D166" s="185" t="s">
        <v>469</v>
      </c>
      <c r="E166" s="204"/>
      <c r="F166" s="204"/>
      <c r="G166" s="213"/>
      <c r="I166" s="437" t="s">
        <v>1944</v>
      </c>
      <c r="J166" s="438">
        <f>+J165+J164</f>
        <v>4.7700000000000005</v>
      </c>
      <c r="K166" s="185" t="s">
        <v>469</v>
      </c>
      <c r="L166" s="204"/>
      <c r="M166" s="204"/>
      <c r="N166" s="213"/>
      <c r="P166" s="211"/>
      <c r="Q166" s="67"/>
      <c r="R166" s="67"/>
      <c r="U166" s="210"/>
    </row>
    <row r="167" spans="2:21" ht="13.8" thickBot="1" x14ac:dyDescent="0.3">
      <c r="P167" s="211"/>
      <c r="Q167" s="67"/>
      <c r="R167" s="67"/>
      <c r="U167" s="210"/>
    </row>
    <row r="168" spans="2:21" ht="13.8" thickBot="1" x14ac:dyDescent="0.3">
      <c r="B168" s="510" t="s">
        <v>1931</v>
      </c>
      <c r="C168" s="511"/>
      <c r="D168" s="511"/>
      <c r="E168" s="511"/>
      <c r="F168" s="511"/>
      <c r="G168" s="512"/>
      <c r="P168" s="211"/>
      <c r="Q168" s="67"/>
      <c r="R168" s="67"/>
      <c r="U168" s="210"/>
    </row>
    <row r="169" spans="2:21" x14ac:dyDescent="0.25">
      <c r="B169" s="513" t="s">
        <v>457</v>
      </c>
      <c r="C169" s="514"/>
      <c r="D169" s="514"/>
      <c r="E169" s="207" t="s">
        <v>458</v>
      </c>
      <c r="F169" s="207">
        <v>24</v>
      </c>
      <c r="G169" s="208" t="s">
        <v>459</v>
      </c>
    </row>
    <row r="170" spans="2:21" x14ac:dyDescent="0.25">
      <c r="B170" s="203" t="s">
        <v>1935</v>
      </c>
      <c r="C170" s="214">
        <v>2.4700000000000002</v>
      </c>
      <c r="D170" t="s">
        <v>409</v>
      </c>
      <c r="G170" s="210"/>
    </row>
    <row r="171" spans="2:21" x14ac:dyDescent="0.25">
      <c r="B171" s="203" t="s">
        <v>1937</v>
      </c>
      <c r="C171" s="214">
        <v>1.17</v>
      </c>
      <c r="D171" t="s">
        <v>409</v>
      </c>
      <c r="G171" s="210"/>
    </row>
    <row r="172" spans="2:21" x14ac:dyDescent="0.25">
      <c r="B172" s="203" t="s">
        <v>460</v>
      </c>
      <c r="C172" s="214">
        <v>1.2</v>
      </c>
      <c r="D172" t="s">
        <v>409</v>
      </c>
      <c r="G172" s="210"/>
    </row>
    <row r="173" spans="2:21" x14ac:dyDescent="0.25">
      <c r="B173" s="203" t="s">
        <v>461</v>
      </c>
      <c r="C173" s="214">
        <v>2.42</v>
      </c>
      <c r="D173" t="s">
        <v>409</v>
      </c>
      <c r="G173" s="210"/>
    </row>
    <row r="174" spans="2:21" x14ac:dyDescent="0.25">
      <c r="B174" s="203" t="s">
        <v>462</v>
      </c>
      <c r="C174" s="214">
        <v>0.15</v>
      </c>
      <c r="D174" t="s">
        <v>409</v>
      </c>
      <c r="G174" s="210"/>
    </row>
    <row r="175" spans="2:21" x14ac:dyDescent="0.25">
      <c r="G175" s="210"/>
    </row>
    <row r="176" spans="2:21" x14ac:dyDescent="0.25">
      <c r="B176" s="506" t="s">
        <v>463</v>
      </c>
      <c r="C176" s="507"/>
      <c r="D176" s="507"/>
      <c r="G176" s="210"/>
    </row>
    <row r="177" spans="2:7" x14ac:dyDescent="0.25">
      <c r="B177" s="203" t="s">
        <v>464</v>
      </c>
      <c r="C177" s="293">
        <f>+C173/15</f>
        <v>0.16133333333333333</v>
      </c>
      <c r="D177" t="s">
        <v>409</v>
      </c>
      <c r="G177" s="210"/>
    </row>
    <row r="178" spans="2:7" x14ac:dyDescent="0.25">
      <c r="B178" s="203" t="s">
        <v>465</v>
      </c>
      <c r="C178" s="214">
        <v>0.28000000000000003</v>
      </c>
      <c r="D178" t="s">
        <v>409</v>
      </c>
      <c r="G178" s="210"/>
    </row>
    <row r="179" spans="2:7" x14ac:dyDescent="0.25">
      <c r="B179" s="203" t="s">
        <v>466</v>
      </c>
      <c r="C179">
        <f>C178*C177/2*C172</f>
        <v>2.7104E-2</v>
      </c>
      <c r="D179" t="s">
        <v>467</v>
      </c>
      <c r="G179" s="210"/>
    </row>
    <row r="180" spans="2:7" x14ac:dyDescent="0.25">
      <c r="B180" s="211" t="s">
        <v>468</v>
      </c>
      <c r="C180" s="67">
        <f>C179*F169/(C172*C178)</f>
        <v>1.9359999999999997</v>
      </c>
      <c r="D180" s="67" t="s">
        <v>411</v>
      </c>
      <c r="G180" s="210"/>
    </row>
    <row r="181" spans="2:7" x14ac:dyDescent="0.25">
      <c r="G181" s="210"/>
    </row>
    <row r="182" spans="2:7" x14ac:dyDescent="0.25">
      <c r="B182" s="506" t="s">
        <v>470</v>
      </c>
      <c r="C182" s="507"/>
      <c r="D182" s="507"/>
      <c r="G182" s="210"/>
    </row>
    <row r="183" spans="2:7" x14ac:dyDescent="0.25">
      <c r="B183" s="212" t="s">
        <v>1943</v>
      </c>
      <c r="C183" s="157">
        <f>F169*C174</f>
        <v>3.5999999999999996</v>
      </c>
      <c r="D183" s="157" t="s">
        <v>411</v>
      </c>
      <c r="G183" s="210"/>
    </row>
    <row r="184" spans="2:7" x14ac:dyDescent="0.25">
      <c r="B184" s="212" t="s">
        <v>471</v>
      </c>
      <c r="C184" s="157">
        <v>0.8</v>
      </c>
      <c r="D184" s="157" t="s">
        <v>411</v>
      </c>
      <c r="G184" s="210"/>
    </row>
    <row r="185" spans="2:7" x14ac:dyDescent="0.25">
      <c r="B185" s="211"/>
      <c r="D185" s="67"/>
      <c r="G185" s="210"/>
    </row>
    <row r="186" spans="2:7" x14ac:dyDescent="0.25">
      <c r="G186" s="210"/>
    </row>
    <row r="187" spans="2:7" x14ac:dyDescent="0.25">
      <c r="G187" s="210"/>
    </row>
    <row r="188" spans="2:7" ht="13.8" thickBot="1" x14ac:dyDescent="0.3">
      <c r="G188" s="210"/>
    </row>
    <row r="189" spans="2:7" ht="13.8" thickBot="1" x14ac:dyDescent="0.3">
      <c r="B189" s="211" t="s">
        <v>1944</v>
      </c>
      <c r="C189" s="436">
        <f>((C183+C184)*(C170/2)+(C183+C184+C180)*(C171/2))</f>
        <v>9.1405600000000007</v>
      </c>
      <c r="D189" s="185" t="s">
        <v>469</v>
      </c>
      <c r="G189" s="210"/>
    </row>
    <row r="190" spans="2:7" x14ac:dyDescent="0.25">
      <c r="B190" s="508" t="s">
        <v>472</v>
      </c>
      <c r="C190" s="509"/>
      <c r="D190" s="509"/>
      <c r="G190" s="210"/>
    </row>
    <row r="191" spans="2:7" x14ac:dyDescent="0.25">
      <c r="B191" s="212" t="s">
        <v>473</v>
      </c>
      <c r="C191" s="157">
        <v>3</v>
      </c>
      <c r="D191" s="157" t="s">
        <v>411</v>
      </c>
      <c r="G191" s="210"/>
    </row>
    <row r="192" spans="2:7" ht="13.8" thickBot="1" x14ac:dyDescent="0.3">
      <c r="B192" s="203"/>
      <c r="G192" s="210"/>
    </row>
    <row r="193" spans="2:7" ht="13.8" thickBot="1" x14ac:dyDescent="0.3">
      <c r="B193" s="183"/>
      <c r="C193" s="186"/>
      <c r="D193" s="185"/>
      <c r="G193" s="210"/>
    </row>
    <row r="194" spans="2:7" ht="13.8" thickBot="1" x14ac:dyDescent="0.3">
      <c r="B194" s="183"/>
      <c r="C194" s="186"/>
      <c r="D194" s="185"/>
      <c r="E194" s="204"/>
      <c r="F194" s="204"/>
      <c r="G194" s="213"/>
    </row>
    <row r="195" spans="2:7" ht="13.8" thickBot="1" x14ac:dyDescent="0.3">
      <c r="B195" s="437" t="s">
        <v>1944</v>
      </c>
      <c r="C195" s="438">
        <f>+C191*(C170+C171)/2</f>
        <v>5.46</v>
      </c>
      <c r="D195" s="185" t="s">
        <v>469</v>
      </c>
      <c r="E195" s="204"/>
      <c r="F195" s="204"/>
      <c r="G195" s="213"/>
    </row>
  </sheetData>
  <mergeCells count="62">
    <mergeCell ref="B4:B7"/>
    <mergeCell ref="B8:B9"/>
    <mergeCell ref="E4:E7"/>
    <mergeCell ref="E8:E9"/>
    <mergeCell ref="B2:E2"/>
    <mergeCell ref="E10:E11"/>
    <mergeCell ref="B10:B11"/>
    <mergeCell ref="B14:B15"/>
    <mergeCell ref="B12:B13"/>
    <mergeCell ref="E12:E13"/>
    <mergeCell ref="E14:E15"/>
    <mergeCell ref="E16:E17"/>
    <mergeCell ref="E18:E19"/>
    <mergeCell ref="E20:E21"/>
    <mergeCell ref="B16:B17"/>
    <mergeCell ref="B18:B19"/>
    <mergeCell ref="B20:B21"/>
    <mergeCell ref="A26:I26"/>
    <mergeCell ref="C117:D117"/>
    <mergeCell ref="E117:G117"/>
    <mergeCell ref="A116:G116"/>
    <mergeCell ref="D59:F59"/>
    <mergeCell ref="D60:F60"/>
    <mergeCell ref="D68:F68"/>
    <mergeCell ref="D58:F58"/>
    <mergeCell ref="D67:F67"/>
    <mergeCell ref="E63:G63"/>
    <mergeCell ref="E64:G64"/>
    <mergeCell ref="E78:G78"/>
    <mergeCell ref="E80:G80"/>
    <mergeCell ref="C50:I50"/>
    <mergeCell ref="D95:G95"/>
    <mergeCell ref="D96:G96"/>
    <mergeCell ref="D97:G97"/>
    <mergeCell ref="E77:G77"/>
    <mergeCell ref="E62:G62"/>
    <mergeCell ref="D94:F94"/>
    <mergeCell ref="E79:G79"/>
    <mergeCell ref="D69:F69"/>
    <mergeCell ref="D71:F71"/>
    <mergeCell ref="D72:F72"/>
    <mergeCell ref="D73:F73"/>
    <mergeCell ref="D74:F74"/>
    <mergeCell ref="D87:F87"/>
    <mergeCell ref="B139:G139"/>
    <mergeCell ref="I139:N139"/>
    <mergeCell ref="P139:U139"/>
    <mergeCell ref="B140:D140"/>
    <mergeCell ref="I140:K140"/>
    <mergeCell ref="I161:K161"/>
    <mergeCell ref="B168:G168"/>
    <mergeCell ref="B169:D169"/>
    <mergeCell ref="P142:R142"/>
    <mergeCell ref="I145:K145"/>
    <mergeCell ref="P145:R145"/>
    <mergeCell ref="B147:D147"/>
    <mergeCell ref="I151:K151"/>
    <mergeCell ref="B176:D176"/>
    <mergeCell ref="B182:D182"/>
    <mergeCell ref="B190:D190"/>
    <mergeCell ref="B153:D153"/>
    <mergeCell ref="B161:D161"/>
  </mergeCells>
  <dataValidations count="1">
    <dataValidation type="list" allowBlank="1" showInputMessage="1" showErrorMessage="1" sqref="D95:D99" xr:uid="{017EFC3A-BB64-483E-9418-04C8B4AA9B38}">
      <formula1>INDIRECT(C95)</formula1>
    </dataValidation>
  </dataValidations>
  <pageMargins left="0.7" right="0.7" top="0.75" bottom="0.75" header="0.3" footer="0.3"/>
  <pageSetup orientation="portrait" r:id="rId1"/>
  <ignoredErrors>
    <ignoredError sqref="E8 E10:E21" formulaRange="1"/>
  </ignoredErrors>
  <drawing r:id="rId2"/>
  <legacyDrawing r:id="rId3"/>
  <oleObjects>
    <mc:AlternateContent xmlns:mc="http://schemas.openxmlformats.org/markup-compatibility/2006">
      <mc:Choice Requires="x14">
        <oleObject progId="Equation.3" shapeId="9218" r:id="rId4">
          <objectPr defaultSize="0" autoPict="0" r:id="rId5">
            <anchor moveWithCells="1" sizeWithCells="1">
              <from>
                <xdr:col>8</xdr:col>
                <xdr:colOff>716280</xdr:colOff>
                <xdr:row>105</xdr:row>
                <xdr:rowOff>0</xdr:rowOff>
              </from>
              <to>
                <xdr:col>10</xdr:col>
                <xdr:colOff>175260</xdr:colOff>
                <xdr:row>105</xdr:row>
                <xdr:rowOff>0</xdr:rowOff>
              </to>
            </anchor>
          </objectPr>
        </oleObject>
      </mc:Choice>
      <mc:Fallback>
        <oleObject progId="Equation.3" shapeId="9218" r:id="rId4"/>
      </mc:Fallback>
    </mc:AlternateContent>
    <mc:AlternateContent xmlns:mc="http://schemas.openxmlformats.org/markup-compatibility/2006">
      <mc:Choice Requires="x14">
        <oleObject progId="Equation.3" shapeId="9219" r:id="rId6">
          <objectPr defaultSize="0" autoPict="0" r:id="rId7">
            <anchor moveWithCells="1" sizeWithCells="1">
              <from>
                <xdr:col>11</xdr:col>
                <xdr:colOff>236220</xdr:colOff>
                <xdr:row>105</xdr:row>
                <xdr:rowOff>0</xdr:rowOff>
              </from>
              <to>
                <xdr:col>14</xdr:col>
                <xdr:colOff>0</xdr:colOff>
                <xdr:row>105</xdr:row>
                <xdr:rowOff>0</xdr:rowOff>
              </to>
            </anchor>
          </objectPr>
        </oleObject>
      </mc:Choice>
      <mc:Fallback>
        <oleObject progId="Equation.3" shapeId="9219" r:id="rId6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51C3A31-6D05-4AF4-9DF5-E286A879B4EC}">
          <x14:formula1>
            <xm:f>TABLAS!$J$5:$J$9</xm:f>
          </x14:formula1>
          <xm:sqref>E63:E64 D59:D60</xm:sqref>
        </x14:dataValidation>
        <x14:dataValidation type="list" allowBlank="1" showInputMessage="1" showErrorMessage="1" xr:uid="{6C61E67D-797B-4A7D-9112-A63924CE3544}">
          <x14:formula1>
            <xm:f>TABLAS!$I$23:$I$41</xm:f>
          </x14:formula1>
          <xm:sqref>C95:C99</xm:sqref>
        </x14:dataValidation>
        <x14:dataValidation type="list" allowBlank="1" showInputMessage="1" showErrorMessage="1" xr:uid="{A9198ECE-86D9-4DBC-88DC-641594A6F5D6}">
          <x14:formula1>
            <xm:f>TABLAS!$J$13:$J$19</xm:f>
          </x14:formula1>
          <xm:sqref>E78:G80 D71:F74 D68:F68 D87:F87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rgb="FF00B050"/>
    <pageSetUpPr fitToPage="1"/>
  </sheetPr>
  <dimension ref="A1:Y848"/>
  <sheetViews>
    <sheetView showGridLines="0" tabSelected="1" topLeftCell="A712" zoomScaleNormal="100" zoomScaleSheetLayoutView="100" workbookViewId="0">
      <selection activeCell="F740" sqref="F740"/>
    </sheetView>
  </sheetViews>
  <sheetFormatPr baseColWidth="10" defaultColWidth="11.44140625" defaultRowHeight="18" customHeight="1" x14ac:dyDescent="0.25"/>
  <cols>
    <col min="1" max="1" width="21.5546875" style="1" customWidth="1"/>
    <col min="2" max="2" width="16.6640625" style="1" customWidth="1"/>
    <col min="3" max="3" width="16.88671875" style="1" customWidth="1"/>
    <col min="4" max="4" width="14.88671875" style="1" customWidth="1"/>
    <col min="5" max="5" width="15.5546875" style="1" customWidth="1"/>
    <col min="6" max="6" width="16.109375" style="1" customWidth="1"/>
    <col min="7" max="7" width="19.77734375" style="1" customWidth="1"/>
    <col min="8" max="8" width="7.44140625" style="1" customWidth="1"/>
    <col min="9" max="9" width="14.6640625" style="1" customWidth="1"/>
    <col min="10" max="10" width="20.88671875" style="1" customWidth="1"/>
    <col min="11" max="11" width="15" style="1" customWidth="1"/>
    <col min="12" max="12" width="11.44140625" style="1"/>
    <col min="13" max="13" width="17.5546875" style="1" customWidth="1"/>
    <col min="14" max="14" width="13.33203125" style="1" bestFit="1" customWidth="1"/>
    <col min="15" max="15" width="14.88671875" style="1" customWidth="1"/>
    <col min="16" max="16" width="12.44140625" style="1" bestFit="1" customWidth="1"/>
    <col min="17" max="17" width="7.21875" style="1" bestFit="1" customWidth="1"/>
    <col min="18" max="18" width="27.21875" style="1" customWidth="1"/>
    <col min="19" max="19" width="12.5546875" style="1" bestFit="1" customWidth="1"/>
    <col min="20" max="20" width="4.88671875" style="1" customWidth="1"/>
    <col min="21" max="21" width="23.44140625" style="1" customWidth="1"/>
    <col min="22" max="16384" width="11.44140625" style="1"/>
  </cols>
  <sheetData>
    <row r="1" spans="1:8" ht="15" customHeight="1" x14ac:dyDescent="0.25">
      <c r="A1" s="32" t="s">
        <v>169</v>
      </c>
    </row>
    <row r="2" spans="1:8" ht="15" customHeight="1" x14ac:dyDescent="0.25">
      <c r="A2" s="19" t="s">
        <v>516</v>
      </c>
    </row>
    <row r="3" spans="1:8" ht="15" customHeight="1" x14ac:dyDescent="0.25">
      <c r="A3" s="19" t="s">
        <v>517</v>
      </c>
    </row>
    <row r="4" spans="1:8" ht="15" customHeight="1" x14ac:dyDescent="0.25">
      <c r="A4" s="19" t="s">
        <v>518</v>
      </c>
    </row>
    <row r="5" spans="1:8" ht="15" customHeight="1" x14ac:dyDescent="0.25">
      <c r="A5" s="19" t="s">
        <v>519</v>
      </c>
    </row>
    <row r="6" spans="1:8" ht="5.0999999999999996" customHeight="1" x14ac:dyDescent="0.25"/>
    <row r="7" spans="1:8" ht="15" customHeight="1" x14ac:dyDescent="0.25">
      <c r="A7" s="22" t="s">
        <v>170</v>
      </c>
      <c r="C7" s="316" t="str">
        <f>+'ESPECTRO NSR-10'!D3</f>
        <v>Pereira</v>
      </c>
    </row>
    <row r="8" spans="1:8" ht="15" customHeight="1" x14ac:dyDescent="0.25">
      <c r="A8" s="22" t="s">
        <v>171</v>
      </c>
      <c r="C8" s="339" t="str">
        <f>+'ESPECTRO NSR-10'!D18</f>
        <v>Alta</v>
      </c>
      <c r="D8"/>
      <c r="E8"/>
      <c r="F8"/>
      <c r="G8"/>
      <c r="H8"/>
    </row>
    <row r="9" spans="1:8" ht="15" customHeight="1" x14ac:dyDescent="0.25">
      <c r="A9" s="22" t="s">
        <v>131</v>
      </c>
      <c r="C9" s="1" t="s">
        <v>5</v>
      </c>
      <c r="D9" s="3">
        <f>+'ESPECTRO NSR-10'!E21</f>
        <v>0.25</v>
      </c>
      <c r="E9" s="1" t="str">
        <f>+'ESPECTRO NSR-10'!D20</f>
        <v>Coeficiente de aceleración horizontal pico efectiva</v>
      </c>
    </row>
    <row r="10" spans="1:8" ht="15" customHeight="1" x14ac:dyDescent="0.25">
      <c r="C10" s="1" t="s">
        <v>37</v>
      </c>
      <c r="D10" s="3">
        <f>+'ESPECTRO NSR-10'!E24</f>
        <v>0.25</v>
      </c>
      <c r="E10" s="1" t="str">
        <f>+'ESPECTRO NSR-10'!D23</f>
        <v xml:space="preserve">Coeficiente de velocidad horizontal pico efectiva </v>
      </c>
    </row>
    <row r="11" spans="1:8" ht="5.0999999999999996" customHeight="1" x14ac:dyDescent="0.25">
      <c r="D11" s="3"/>
    </row>
    <row r="12" spans="1:8" ht="15" customHeight="1" x14ac:dyDescent="0.25">
      <c r="A12" s="32" t="s">
        <v>172</v>
      </c>
    </row>
    <row r="13" spans="1:8" ht="15" customHeight="1" x14ac:dyDescent="0.25">
      <c r="A13" s="86" t="s">
        <v>528</v>
      </c>
    </row>
    <row r="14" spans="1:8" ht="15" customHeight="1" x14ac:dyDescent="0.25">
      <c r="A14" s="86" t="s">
        <v>529</v>
      </c>
    </row>
    <row r="15" spans="1:8" ht="15" customHeight="1" x14ac:dyDescent="0.25">
      <c r="A15" s="86" t="s">
        <v>173</v>
      </c>
    </row>
    <row r="16" spans="1:8" ht="15" customHeight="1" x14ac:dyDescent="0.25">
      <c r="A16" s="86" t="s">
        <v>174</v>
      </c>
    </row>
    <row r="17" spans="1:8" ht="15" customHeight="1" x14ac:dyDescent="0.25">
      <c r="A17" s="86" t="s">
        <v>530</v>
      </c>
    </row>
    <row r="18" spans="1:8" ht="15" customHeight="1" x14ac:dyDescent="0.25">
      <c r="A18" s="86" t="s">
        <v>531</v>
      </c>
    </row>
    <row r="19" spans="1:8" ht="15" customHeight="1" x14ac:dyDescent="0.25">
      <c r="A19" s="86" t="s">
        <v>532</v>
      </c>
    </row>
    <row r="20" spans="1:8" ht="5.0999999999999996" customHeight="1" x14ac:dyDescent="0.25">
      <c r="A20" s="86"/>
    </row>
    <row r="21" spans="1:8" ht="15" customHeight="1" x14ac:dyDescent="0.25">
      <c r="A21" s="46" t="str">
        <f>+'ESPECTRO NSR-10'!D11</f>
        <v xml:space="preserve">Tipo de perfil de suelo (tabla A.2.4-1 de la NSR-10 ): </v>
      </c>
      <c r="B21" s="46"/>
      <c r="D21" s="46"/>
      <c r="E21" s="46"/>
      <c r="F21" s="46"/>
      <c r="G21" s="285" t="str">
        <f>+'ESPECTRO NSR-10'!D12</f>
        <v>D</v>
      </c>
      <c r="H21" s="46"/>
    </row>
    <row r="22" spans="1:8" ht="15" customHeight="1" x14ac:dyDescent="0.25">
      <c r="A22" s="46" t="str">
        <f>+'ESPECTRO NSR-10'!D26</f>
        <v>Coeficiente de amplificación que afecta la aceleración en la zona de períodos cortos</v>
      </c>
      <c r="B22" s="46"/>
      <c r="C22" s="46"/>
      <c r="D22" s="46"/>
      <c r="E22" s="46"/>
      <c r="F22" s="46"/>
      <c r="G22" s="75" t="str">
        <f>+'ESPECTRO NSR-10'!D27</f>
        <v>Fa=</v>
      </c>
      <c r="H22" s="95">
        <f>+'ESPECTRO NSR-10'!E27</f>
        <v>1.44</v>
      </c>
    </row>
    <row r="23" spans="1:8" ht="15" customHeight="1" x14ac:dyDescent="0.25">
      <c r="A23" s="46" t="str">
        <f>+'ESPECTRO NSR-10'!D29</f>
        <v>Coeficiente de amplificación que afecta la aceleración en la zona de períodos intermedios.</v>
      </c>
      <c r="B23" s="46"/>
      <c r="C23" s="46"/>
      <c r="D23" s="46"/>
      <c r="E23" s="46"/>
      <c r="F23" s="46"/>
      <c r="G23" s="75" t="str">
        <f>+'ESPECTRO NSR-10'!D30</f>
        <v>Fv=</v>
      </c>
      <c r="H23" s="95">
        <f>+'ESPECTRO NSR-10'!E30</f>
        <v>2.4</v>
      </c>
    </row>
    <row r="24" spans="1:8" ht="15" customHeight="1" x14ac:dyDescent="0.25">
      <c r="A24" s="46" t="str">
        <f>+'ESPECTRO NSR-10'!D14</f>
        <v>Factor de importancia</v>
      </c>
      <c r="B24" s="46"/>
      <c r="C24" s="468" t="str">
        <f>'ESPECTRO NSR-10'!$D$15</f>
        <v>Grupo I: Estructuras de ocupación normal</v>
      </c>
      <c r="D24" s="468"/>
      <c r="E24" s="468"/>
      <c r="F24" s="468"/>
      <c r="G24" s="46">
        <f>+'ESPECTRO NSR-10'!H15</f>
        <v>1</v>
      </c>
      <c r="H24" s="46"/>
    </row>
    <row r="25" spans="1:8" ht="15" customHeight="1" x14ac:dyDescent="0.25">
      <c r="A25" s="86" t="s">
        <v>175</v>
      </c>
      <c r="B25" s="47"/>
      <c r="C25" s="107" t="s">
        <v>176</v>
      </c>
      <c r="D25" s="108"/>
      <c r="E25" s="108"/>
      <c r="F25" s="108"/>
      <c r="G25" s="108"/>
      <c r="H25" s="109"/>
    </row>
    <row r="26" spans="1:8" ht="5.0999999999999996" customHeight="1" x14ac:dyDescent="0.25">
      <c r="A26" s="86"/>
      <c r="B26" s="47"/>
      <c r="C26" s="47"/>
      <c r="D26" s="47"/>
      <c r="E26" s="47"/>
      <c r="F26" s="47"/>
      <c r="G26" s="47"/>
      <c r="H26" s="47"/>
    </row>
    <row r="27" spans="1:8" ht="15" customHeight="1" x14ac:dyDescent="0.25">
      <c r="A27" s="46" t="s">
        <v>177</v>
      </c>
      <c r="B27" s="47"/>
      <c r="C27" s="47"/>
      <c r="D27" s="47"/>
      <c r="E27" s="47"/>
      <c r="F27" s="47"/>
      <c r="G27" s="47"/>
      <c r="H27" s="47"/>
    </row>
    <row r="28" spans="1:8" ht="15" customHeight="1" x14ac:dyDescent="0.25">
      <c r="A28" s="46" t="s">
        <v>178</v>
      </c>
      <c r="B28" s="47"/>
      <c r="C28" s="47"/>
      <c r="D28" s="47"/>
      <c r="E28" s="47"/>
      <c r="F28" s="47"/>
      <c r="G28" s="47"/>
      <c r="H28" s="47"/>
    </row>
    <row r="29" spans="1:8" ht="18" customHeight="1" x14ac:dyDescent="0.25">
      <c r="A29" s="46"/>
      <c r="B29" s="47"/>
      <c r="C29" s="47"/>
      <c r="D29" s="47"/>
      <c r="E29" s="47"/>
      <c r="F29" s="47"/>
      <c r="G29" s="47"/>
      <c r="H29" s="47"/>
    </row>
    <row r="30" spans="1:8" ht="18" customHeight="1" x14ac:dyDescent="0.25">
      <c r="A30" s="49"/>
      <c r="B30" s="50"/>
      <c r="C30" s="47"/>
      <c r="D30" s="47"/>
      <c r="E30" s="47"/>
      <c r="F30" s="47"/>
      <c r="G30" s="47"/>
      <c r="H30" s="47"/>
    </row>
    <row r="31" spans="1:8" ht="18" customHeight="1" x14ac:dyDescent="0.25">
      <c r="A31" s="49"/>
      <c r="B31" s="50"/>
      <c r="C31" s="47"/>
      <c r="D31" s="47"/>
      <c r="E31" s="47"/>
      <c r="F31" s="47"/>
      <c r="G31" s="47"/>
      <c r="H31" s="47"/>
    </row>
    <row r="32" spans="1:8" ht="18" customHeight="1" x14ac:dyDescent="0.25">
      <c r="A32" s="49"/>
      <c r="B32" s="50"/>
      <c r="C32" s="47"/>
      <c r="D32" s="47"/>
      <c r="E32" s="47"/>
      <c r="F32" s="47"/>
      <c r="G32" s="47"/>
      <c r="H32" s="47"/>
    </row>
    <row r="33" spans="1:9" ht="18" customHeight="1" x14ac:dyDescent="0.25">
      <c r="A33" s="49"/>
      <c r="B33" s="50"/>
      <c r="C33" s="47"/>
      <c r="D33" s="47"/>
      <c r="E33" s="47"/>
      <c r="F33" s="47"/>
      <c r="G33" s="47"/>
      <c r="H33" s="47"/>
    </row>
    <row r="34" spans="1:9" ht="18" customHeight="1" x14ac:dyDescent="0.25">
      <c r="A34" s="49"/>
      <c r="B34" s="50"/>
      <c r="C34" s="47"/>
      <c r="D34" s="47"/>
      <c r="E34" s="47"/>
      <c r="F34" s="47"/>
      <c r="G34" s="47"/>
      <c r="H34" s="47"/>
    </row>
    <row r="35" spans="1:9" ht="18" customHeight="1" x14ac:dyDescent="0.25">
      <c r="A35" s="49"/>
      <c r="B35" s="50"/>
      <c r="C35" s="47"/>
      <c r="D35" s="47"/>
      <c r="E35" s="47"/>
      <c r="F35" s="47"/>
      <c r="G35" s="47"/>
      <c r="H35" s="47"/>
    </row>
    <row r="36" spans="1:9" ht="18" customHeight="1" x14ac:dyDescent="0.25">
      <c r="A36" s="49"/>
      <c r="B36" s="50"/>
      <c r="C36" s="47"/>
      <c r="D36" s="47"/>
      <c r="E36" s="47"/>
      <c r="F36" s="47"/>
      <c r="G36" s="47"/>
      <c r="H36" s="47"/>
    </row>
    <row r="37" spans="1:9" ht="18" customHeight="1" x14ac:dyDescent="0.25">
      <c r="A37" s="49"/>
      <c r="B37" s="50"/>
      <c r="C37" s="47"/>
      <c r="D37" s="47"/>
      <c r="E37" s="47"/>
      <c r="F37" s="47"/>
      <c r="G37" s="47"/>
      <c r="H37" s="47"/>
    </row>
    <row r="38" spans="1:9" ht="18" customHeight="1" x14ac:dyDescent="0.25">
      <c r="A38" s="49"/>
      <c r="B38" s="50"/>
      <c r="C38" s="47"/>
      <c r="D38" s="47"/>
      <c r="E38" s="47"/>
      <c r="F38" s="47"/>
      <c r="G38" s="47"/>
      <c r="H38" s="47"/>
    </row>
    <row r="39" spans="1:9" ht="18" customHeight="1" x14ac:dyDescent="0.25">
      <c r="A39" s="49"/>
      <c r="B39" s="50"/>
      <c r="C39" s="47"/>
      <c r="D39" s="47"/>
      <c r="E39" s="51"/>
      <c r="F39" s="47"/>
      <c r="G39" s="47"/>
      <c r="H39" s="47"/>
    </row>
    <row r="40" spans="1:9" ht="18" customHeight="1" x14ac:dyDescent="0.25">
      <c r="A40" s="49"/>
      <c r="B40" s="50"/>
      <c r="C40" s="47"/>
      <c r="D40" s="47"/>
      <c r="E40" s="51"/>
      <c r="F40" s="47"/>
      <c r="G40" s="47"/>
      <c r="H40" s="47"/>
    </row>
    <row r="41" spans="1:9" ht="18" customHeight="1" x14ac:dyDescent="0.25">
      <c r="A41" s="49"/>
      <c r="B41" s="50"/>
      <c r="C41" s="47"/>
      <c r="D41" s="47"/>
      <c r="E41" s="51"/>
      <c r="F41" s="47"/>
      <c r="G41" s="47"/>
      <c r="H41" s="47"/>
    </row>
    <row r="42" spans="1:9" ht="18" customHeight="1" x14ac:dyDescent="0.25">
      <c r="A42" s="49"/>
      <c r="B42" s="50"/>
      <c r="C42" s="47"/>
      <c r="D42" s="47"/>
      <c r="E42" s="51"/>
      <c r="F42" s="47"/>
      <c r="G42" s="47"/>
      <c r="H42" s="47"/>
    </row>
    <row r="43" spans="1:9" ht="18" customHeight="1" x14ac:dyDescent="0.25">
      <c r="A43" s="478" t="s">
        <v>53</v>
      </c>
      <c r="B43" s="478"/>
      <c r="C43" s="478"/>
      <c r="D43" s="478"/>
      <c r="E43" s="478"/>
      <c r="F43" s="478"/>
      <c r="G43" s="478"/>
      <c r="H43" s="478"/>
      <c r="I43" s="478"/>
    </row>
    <row r="44" spans="1:9" ht="5.0999999999999996" customHeight="1" x14ac:dyDescent="0.25">
      <c r="A44" s="46"/>
      <c r="B44" s="47"/>
      <c r="C44" s="47"/>
      <c r="D44" s="47"/>
      <c r="E44" s="47"/>
      <c r="F44" s="47"/>
      <c r="G44" s="47"/>
      <c r="H44" s="47"/>
    </row>
    <row r="45" spans="1:9" s="8" customFormat="1" ht="15" customHeight="1" x14ac:dyDescent="0.25">
      <c r="A45" s="88" t="s">
        <v>40</v>
      </c>
      <c r="B45" s="46"/>
      <c r="C45" s="52"/>
      <c r="D45" s="84"/>
      <c r="E45" s="84"/>
      <c r="F45" s="84"/>
      <c r="G45" s="84"/>
      <c r="H45" s="84"/>
    </row>
    <row r="46" spans="1:9" s="8" customFormat="1" ht="15" customHeight="1" x14ac:dyDescent="0.25">
      <c r="A46" s="126" t="str">
        <f>'ESPECTRO NSR-10'!D15</f>
        <v>Grupo I: Estructuras de ocupación normal</v>
      </c>
      <c r="B46" s="126"/>
      <c r="C46" s="71"/>
      <c r="D46" s="127"/>
      <c r="E46" s="311">
        <f>'ESPECTRO NSR-10'!H15</f>
        <v>1</v>
      </c>
      <c r="F46" s="95" t="str">
        <f>'ESPECTRO NSR-10'!I15</f>
        <v>(NSR-10 A.2.5)</v>
      </c>
      <c r="G46" s="84"/>
      <c r="H46" s="84"/>
    </row>
    <row r="47" spans="1:9" s="8" customFormat="1" ht="5.0999999999999996" customHeight="1" x14ac:dyDescent="0.25">
      <c r="A47" s="46"/>
      <c r="B47" s="46"/>
      <c r="C47" s="52"/>
      <c r="D47" s="84"/>
      <c r="E47" s="84"/>
      <c r="F47" s="84"/>
      <c r="G47" s="84"/>
      <c r="H47" s="84"/>
    </row>
    <row r="48" spans="1:9" s="8" customFormat="1" ht="15" customHeight="1" x14ac:dyDescent="0.25">
      <c r="A48" s="88" t="s">
        <v>181</v>
      </c>
      <c r="B48" s="46"/>
      <c r="C48" s="53"/>
      <c r="D48" s="84"/>
      <c r="E48" s="84"/>
      <c r="F48" s="84"/>
      <c r="G48" s="84"/>
      <c r="H48" s="84"/>
    </row>
    <row r="49" spans="1:8" s="8" customFormat="1" ht="15" customHeight="1" x14ac:dyDescent="0.25">
      <c r="A49" s="53" t="str">
        <f>'ESPECTRO NSR-10'!D21</f>
        <v>Aa =</v>
      </c>
      <c r="B49" s="53">
        <f>'ESPECTRO NSR-10'!E21</f>
        <v>0.25</v>
      </c>
      <c r="C49" s="75"/>
      <c r="D49" s="84"/>
      <c r="E49" s="84"/>
      <c r="F49" s="84"/>
      <c r="G49" s="84"/>
      <c r="H49" s="84"/>
    </row>
    <row r="50" spans="1:8" s="8" customFormat="1" ht="5.0999999999999996" customHeight="1" x14ac:dyDescent="0.25">
      <c r="A50" s="84"/>
      <c r="B50" s="84"/>
      <c r="C50" s="84"/>
      <c r="D50" s="84"/>
      <c r="E50" s="84"/>
      <c r="F50" s="84"/>
      <c r="G50" s="84"/>
      <c r="H50" s="84"/>
    </row>
    <row r="51" spans="1:8" s="8" customFormat="1" ht="15" customHeight="1" x14ac:dyDescent="0.25">
      <c r="A51" s="88" t="s">
        <v>182</v>
      </c>
      <c r="B51" s="84"/>
      <c r="C51" s="84"/>
      <c r="D51" s="84"/>
      <c r="E51" s="84"/>
      <c r="F51" s="84"/>
      <c r="G51" s="84"/>
      <c r="H51" s="84"/>
    </row>
    <row r="52" spans="1:8" s="8" customFormat="1" ht="15" customHeight="1" x14ac:dyDescent="0.25">
      <c r="A52" s="53" t="str">
        <f>'ESPECTRO NSR-10'!D24</f>
        <v>Av =</v>
      </c>
      <c r="B52" s="128">
        <f>'ESPECTRO NSR-10'!E24</f>
        <v>0.25</v>
      </c>
      <c r="C52" s="75"/>
      <c r="D52" s="84"/>
      <c r="E52" s="84"/>
      <c r="F52" s="84"/>
      <c r="G52" s="84"/>
      <c r="H52" s="84"/>
    </row>
    <row r="53" spans="1:8" s="8" customFormat="1" ht="5.0999999999999996" customHeight="1" x14ac:dyDescent="0.25">
      <c r="A53" s="84"/>
      <c r="B53" s="105"/>
      <c r="C53" s="53"/>
      <c r="D53" s="84"/>
      <c r="E53" s="84"/>
      <c r="F53" s="84"/>
      <c r="G53" s="84"/>
      <c r="H53" s="84"/>
    </row>
    <row r="54" spans="1:8" s="8" customFormat="1" ht="15" customHeight="1" x14ac:dyDescent="0.25">
      <c r="A54" s="88" t="str">
        <f>+'ESPECTRO NSR-10'!D11</f>
        <v xml:space="preserve">Tipo de perfil de suelo (tabla A.2.4-1 de la NSR-10 ): </v>
      </c>
      <c r="B54" s="46"/>
      <c r="C54" s="53"/>
      <c r="D54" s="84"/>
      <c r="E54" s="84"/>
      <c r="F54" s="84"/>
      <c r="G54" s="84"/>
      <c r="H54" s="84"/>
    </row>
    <row r="55" spans="1:8" s="8" customFormat="1" ht="15" customHeight="1" x14ac:dyDescent="0.25">
      <c r="A55" s="286" t="str">
        <f>+'ESPECTRO NSR-10'!D12</f>
        <v>D</v>
      </c>
      <c r="B55" s="126"/>
      <c r="C55" s="106"/>
      <c r="D55" s="127"/>
      <c r="E55" s="127"/>
      <c r="F55" s="127"/>
      <c r="G55" s="84"/>
      <c r="H55" s="84"/>
    </row>
    <row r="56" spans="1:8" s="8" customFormat="1" ht="5.0999999999999996" customHeight="1" x14ac:dyDescent="0.25">
      <c r="A56" s="84"/>
      <c r="B56" s="84"/>
      <c r="C56" s="84"/>
      <c r="D56" s="84"/>
      <c r="E56" s="84"/>
      <c r="F56" s="84"/>
      <c r="G56" s="84"/>
      <c r="H56" s="84"/>
    </row>
    <row r="57" spans="1:8" s="8" customFormat="1" ht="15" customHeight="1" x14ac:dyDescent="0.25">
      <c r="A57" s="73" t="s">
        <v>44</v>
      </c>
      <c r="B57" s="75"/>
      <c r="C57" s="46"/>
      <c r="D57" s="84"/>
      <c r="E57" s="84"/>
      <c r="F57" s="84"/>
      <c r="G57" s="84"/>
      <c r="H57" s="84"/>
    </row>
    <row r="58" spans="1:8" s="8" customFormat="1" ht="15" customHeight="1" x14ac:dyDescent="0.25">
      <c r="A58" s="53" t="s">
        <v>264</v>
      </c>
      <c r="B58" s="287">
        <f>+'ESPECTRO NSR-10'!E27</f>
        <v>1.44</v>
      </c>
      <c r="C58" s="84"/>
      <c r="D58" s="84"/>
      <c r="E58" s="84"/>
      <c r="F58" s="84"/>
      <c r="G58" s="84"/>
      <c r="H58" s="84"/>
    </row>
    <row r="59" spans="1:8" s="8" customFormat="1" ht="5.0999999999999996" customHeight="1" x14ac:dyDescent="0.25">
      <c r="A59" s="84"/>
      <c r="B59" s="84"/>
      <c r="C59" s="84"/>
      <c r="D59" s="84"/>
      <c r="E59" s="84"/>
      <c r="F59" s="84"/>
      <c r="G59" s="84"/>
      <c r="H59" s="84"/>
    </row>
    <row r="60" spans="1:8" s="8" customFormat="1" ht="15" customHeight="1" x14ac:dyDescent="0.25">
      <c r="A60" s="74" t="s">
        <v>46</v>
      </c>
      <c r="B60" s="84"/>
      <c r="C60" s="84"/>
      <c r="D60" s="84"/>
      <c r="E60" s="84"/>
      <c r="F60" s="84"/>
      <c r="G60" s="84"/>
      <c r="H60" s="84"/>
    </row>
    <row r="61" spans="1:8" s="8" customFormat="1" ht="15" customHeight="1" x14ac:dyDescent="0.25">
      <c r="A61" s="53" t="s">
        <v>265</v>
      </c>
      <c r="B61" s="128">
        <f>+'ESPECTRO NSR-10'!E30</f>
        <v>2.4</v>
      </c>
      <c r="C61" s="84"/>
      <c r="D61" s="84"/>
      <c r="E61" s="84"/>
      <c r="F61" s="84"/>
      <c r="G61" s="84"/>
      <c r="H61" s="84"/>
    </row>
    <row r="62" spans="1:8" s="8" customFormat="1" ht="5.0999999999999996" customHeight="1" x14ac:dyDescent="0.25">
      <c r="A62" s="84"/>
      <c r="B62" s="84"/>
      <c r="C62" s="84"/>
      <c r="D62" s="84"/>
      <c r="E62" s="84"/>
      <c r="F62" s="84"/>
      <c r="G62" s="84"/>
      <c r="H62" s="84"/>
    </row>
    <row r="63" spans="1:8" s="8" customFormat="1" ht="15" customHeight="1" x14ac:dyDescent="0.25">
      <c r="A63" s="53" t="s">
        <v>21</v>
      </c>
      <c r="B63" s="288">
        <f>+'ESPECTRO NSR-10'!E32</f>
        <v>0.16666666666666666</v>
      </c>
      <c r="G63" s="84"/>
      <c r="H63" s="84"/>
    </row>
    <row r="64" spans="1:8" s="8" customFormat="1" ht="15" customHeight="1" x14ac:dyDescent="0.25">
      <c r="A64" s="53" t="s">
        <v>11</v>
      </c>
      <c r="B64" s="288">
        <f>+'ESPECTRO NSR-10'!E33</f>
        <v>0.79999999999999993</v>
      </c>
      <c r="C64" s="46"/>
      <c r="D64" s="84"/>
      <c r="E64" s="84"/>
      <c r="F64" s="84"/>
      <c r="G64" s="84"/>
      <c r="H64" s="84"/>
    </row>
    <row r="65" spans="1:8" s="8" customFormat="1" ht="15" customHeight="1" x14ac:dyDescent="0.25">
      <c r="A65" s="53" t="s">
        <v>22</v>
      </c>
      <c r="B65" s="288">
        <f>+'ESPECTRO NSR-10'!E34</f>
        <v>5.76</v>
      </c>
      <c r="D65" s="84"/>
      <c r="E65" s="84"/>
      <c r="F65" s="84"/>
      <c r="G65" s="84"/>
      <c r="H65" s="84"/>
    </row>
    <row r="66" spans="1:8" s="8" customFormat="1" ht="5.0999999999999996" customHeight="1" x14ac:dyDescent="0.25">
      <c r="A66" s="46"/>
      <c r="B66" s="53"/>
      <c r="C66" s="46"/>
      <c r="D66" s="84"/>
      <c r="E66" s="84"/>
      <c r="F66" s="84"/>
      <c r="G66" s="84"/>
      <c r="H66" s="84"/>
    </row>
    <row r="67" spans="1:8" s="8" customFormat="1" ht="15" customHeight="1" x14ac:dyDescent="0.25">
      <c r="A67" s="46" t="s">
        <v>6</v>
      </c>
      <c r="B67" s="53"/>
      <c r="C67" s="46"/>
      <c r="D67" s="84"/>
      <c r="E67" s="84"/>
      <c r="F67" s="84"/>
      <c r="G67" s="84"/>
      <c r="H67" s="84"/>
    </row>
    <row r="68" spans="1:8" s="8" customFormat="1" ht="5.0999999999999996" customHeight="1" x14ac:dyDescent="0.25">
      <c r="A68" s="46"/>
      <c r="B68" s="46"/>
      <c r="C68" s="46"/>
      <c r="D68" s="84"/>
      <c r="E68" s="84"/>
      <c r="F68" s="84"/>
      <c r="G68" s="84"/>
      <c r="H68" s="84"/>
    </row>
    <row r="69" spans="1:8" s="8" customFormat="1" ht="15" customHeight="1" x14ac:dyDescent="0.25">
      <c r="A69" s="167" t="s">
        <v>533</v>
      </c>
      <c r="B69" s="75"/>
      <c r="C69" s="75"/>
      <c r="D69" s="77"/>
      <c r="E69" s="77"/>
      <c r="F69" s="77"/>
      <c r="G69" s="77"/>
      <c r="H69" s="77"/>
    </row>
    <row r="70" spans="1:8" s="8" customFormat="1" ht="15" customHeight="1" x14ac:dyDescent="0.25">
      <c r="A70" s="167" t="s">
        <v>534</v>
      </c>
      <c r="B70" s="75"/>
      <c r="C70" s="75"/>
      <c r="D70" s="77"/>
      <c r="E70" s="77"/>
      <c r="F70" s="77"/>
      <c r="G70" s="77"/>
      <c r="H70" s="77"/>
    </row>
    <row r="71" spans="1:8" s="8" customFormat="1" ht="15" customHeight="1" x14ac:dyDescent="0.35">
      <c r="A71" s="238" t="s">
        <v>535</v>
      </c>
      <c r="B71" s="77"/>
      <c r="C71" s="77"/>
      <c r="D71" s="77"/>
      <c r="E71" s="77"/>
      <c r="F71" s="77"/>
      <c r="G71" s="77"/>
      <c r="H71" s="77"/>
    </row>
    <row r="72" spans="1:8" s="8" customFormat="1" ht="15" customHeight="1" x14ac:dyDescent="0.25">
      <c r="A72" s="167" t="s">
        <v>536</v>
      </c>
      <c r="B72" s="77"/>
      <c r="C72" s="77"/>
      <c r="D72" s="77"/>
      <c r="E72" s="77"/>
      <c r="F72" s="77"/>
      <c r="G72" s="77"/>
      <c r="H72" s="77"/>
    </row>
    <row r="73" spans="1:8" s="8" customFormat="1" ht="15" customHeight="1" x14ac:dyDescent="0.25">
      <c r="A73" s="167" t="s">
        <v>537</v>
      </c>
      <c r="B73" s="75"/>
      <c r="C73" s="75"/>
      <c r="D73" s="77"/>
      <c r="E73" s="77"/>
      <c r="F73" s="77"/>
      <c r="G73" s="77"/>
      <c r="H73" s="77"/>
    </row>
    <row r="74" spans="1:8" ht="18" customHeight="1" x14ac:dyDescent="0.25">
      <c r="A74" s="86"/>
      <c r="B74" s="47"/>
      <c r="C74" s="47"/>
      <c r="D74" s="47"/>
      <c r="E74" s="47"/>
      <c r="F74" s="47"/>
      <c r="G74" s="47"/>
      <c r="H74" s="47"/>
    </row>
    <row r="75" spans="1:8" ht="18" customHeight="1" x14ac:dyDescent="0.25">
      <c r="A75" s="86"/>
      <c r="B75" s="47"/>
      <c r="C75" s="47"/>
      <c r="D75" s="47"/>
      <c r="E75" s="47"/>
      <c r="F75" s="47"/>
      <c r="G75" s="47"/>
      <c r="H75" s="47"/>
    </row>
    <row r="76" spans="1:8" ht="18" customHeight="1" x14ac:dyDescent="0.25">
      <c r="A76" s="86"/>
      <c r="B76" s="47"/>
      <c r="C76" s="47"/>
      <c r="D76" s="47"/>
      <c r="E76" s="47"/>
      <c r="F76" s="47"/>
      <c r="G76" s="47"/>
      <c r="H76" s="47"/>
    </row>
    <row r="77" spans="1:8" ht="18" customHeight="1" x14ac:dyDescent="0.25">
      <c r="A77" s="86"/>
      <c r="B77" s="47"/>
      <c r="C77" s="47"/>
      <c r="D77" s="47"/>
      <c r="E77" s="47"/>
      <c r="F77" s="47"/>
      <c r="G77" s="47"/>
      <c r="H77" s="47"/>
    </row>
    <row r="78" spans="1:8" ht="18" customHeight="1" x14ac:dyDescent="0.25">
      <c r="A78" s="86"/>
      <c r="B78" s="47"/>
      <c r="C78" s="47"/>
      <c r="D78" s="47"/>
      <c r="E78" s="47"/>
      <c r="F78" s="47"/>
      <c r="G78" s="47"/>
      <c r="H78" s="47"/>
    </row>
    <row r="79" spans="1:8" ht="18" customHeight="1" x14ac:dyDescent="0.25">
      <c r="A79" s="86"/>
      <c r="B79" s="47"/>
      <c r="C79" s="47"/>
      <c r="D79" s="47"/>
      <c r="E79" s="47"/>
      <c r="F79" s="47"/>
      <c r="G79" s="47"/>
      <c r="H79" s="47"/>
    </row>
    <row r="80" spans="1:8" ht="18" customHeight="1" x14ac:dyDescent="0.25">
      <c r="A80" s="86"/>
      <c r="B80" s="47"/>
      <c r="C80" s="47"/>
      <c r="D80" s="47"/>
      <c r="E80" s="47"/>
      <c r="F80" s="47"/>
      <c r="G80" s="47"/>
      <c r="H80" s="47"/>
    </row>
    <row r="81" spans="1:8" ht="18" customHeight="1" x14ac:dyDescent="0.25">
      <c r="A81" s="86"/>
      <c r="B81" s="47"/>
      <c r="C81" s="47"/>
      <c r="D81" s="47"/>
      <c r="E81" s="47"/>
      <c r="F81" s="47"/>
      <c r="G81" s="47"/>
      <c r="H81" s="47"/>
    </row>
    <row r="82" spans="1:8" ht="18" customHeight="1" x14ac:dyDescent="0.25">
      <c r="A82" s="86"/>
      <c r="B82" s="47"/>
      <c r="C82" s="47"/>
      <c r="D82" s="47"/>
      <c r="E82" s="47"/>
      <c r="F82" s="47"/>
      <c r="G82" s="47"/>
      <c r="H82" s="47"/>
    </row>
    <row r="83" spans="1:8" ht="18" customHeight="1" x14ac:dyDescent="0.25">
      <c r="A83" s="86"/>
      <c r="B83" s="47"/>
      <c r="C83" s="47"/>
      <c r="D83" s="47"/>
      <c r="E83" s="47"/>
      <c r="F83" s="47"/>
      <c r="G83" s="47"/>
      <c r="H83" s="47"/>
    </row>
    <row r="84" spans="1:8" ht="18" customHeight="1" x14ac:dyDescent="0.25">
      <c r="A84" s="86"/>
      <c r="B84" s="47"/>
      <c r="C84" s="47"/>
      <c r="D84" s="47"/>
      <c r="E84" s="47"/>
      <c r="F84" s="47"/>
      <c r="G84" s="47"/>
      <c r="H84" s="47"/>
    </row>
    <row r="85" spans="1:8" ht="18" customHeight="1" x14ac:dyDescent="0.25">
      <c r="A85" s="86"/>
      <c r="B85" s="47"/>
      <c r="C85" s="47"/>
      <c r="D85" s="47"/>
      <c r="E85" s="47"/>
      <c r="F85" s="47"/>
      <c r="G85" s="47"/>
      <c r="H85" s="47"/>
    </row>
    <row r="86" spans="1:8" ht="18" customHeight="1" x14ac:dyDescent="0.25">
      <c r="A86" s="86"/>
      <c r="B86" s="47"/>
      <c r="C86" s="47"/>
      <c r="D86" s="47"/>
      <c r="E86" s="47"/>
      <c r="F86" s="47"/>
      <c r="G86" s="47"/>
      <c r="H86" s="47"/>
    </row>
    <row r="87" spans="1:8" ht="18" customHeight="1" x14ac:dyDescent="0.25">
      <c r="A87" s="86"/>
      <c r="B87" s="47"/>
      <c r="C87" s="47"/>
      <c r="D87" s="47"/>
      <c r="E87" s="47"/>
      <c r="F87" s="47"/>
      <c r="G87" s="47"/>
      <c r="H87" s="47"/>
    </row>
    <row r="88" spans="1:8" ht="18" customHeight="1" x14ac:dyDescent="0.25">
      <c r="A88" s="86"/>
      <c r="B88" s="47"/>
      <c r="C88" s="47"/>
      <c r="D88" s="47"/>
      <c r="E88" s="47"/>
      <c r="F88" s="47"/>
      <c r="G88" s="47"/>
      <c r="H88" s="47"/>
    </row>
    <row r="89" spans="1:8" ht="18" customHeight="1" x14ac:dyDescent="0.25">
      <c r="A89" s="86"/>
      <c r="B89" s="47"/>
      <c r="C89" s="47"/>
      <c r="D89" s="47"/>
      <c r="E89" s="47"/>
      <c r="F89" s="47"/>
      <c r="G89" s="47"/>
      <c r="H89" s="47"/>
    </row>
    <row r="90" spans="1:8" ht="18" customHeight="1" x14ac:dyDescent="0.25">
      <c r="A90" s="86"/>
      <c r="B90" s="47"/>
      <c r="C90" s="47"/>
      <c r="D90" s="47"/>
      <c r="E90" s="47"/>
      <c r="F90" s="47"/>
      <c r="G90" s="47"/>
      <c r="H90" s="47"/>
    </row>
    <row r="91" spans="1:8" ht="18" customHeight="1" x14ac:dyDescent="0.25">
      <c r="A91" s="86"/>
      <c r="B91" s="47"/>
      <c r="C91" s="47"/>
      <c r="D91" s="47"/>
      <c r="E91" s="47"/>
      <c r="F91" s="47"/>
      <c r="G91" s="47"/>
      <c r="H91" s="47"/>
    </row>
    <row r="92" spans="1:8" ht="15" customHeight="1" x14ac:dyDescent="0.25">
      <c r="A92" s="32" t="s">
        <v>179</v>
      </c>
      <c r="B92" s="47"/>
      <c r="C92" s="47"/>
      <c r="D92" s="47"/>
      <c r="E92" s="47"/>
      <c r="F92" s="47"/>
      <c r="G92" s="47"/>
      <c r="H92" s="47"/>
    </row>
    <row r="93" spans="1:8" ht="15" customHeight="1" x14ac:dyDescent="0.25">
      <c r="A93" s="86" t="s">
        <v>538</v>
      </c>
      <c r="B93" s="47"/>
      <c r="C93" s="47"/>
      <c r="D93" s="47"/>
      <c r="E93" s="47"/>
      <c r="F93" s="47"/>
      <c r="G93" s="47"/>
      <c r="H93" s="47"/>
    </row>
    <row r="94" spans="1:8" ht="15" customHeight="1" x14ac:dyDescent="0.25">
      <c r="A94" s="86" t="s">
        <v>539</v>
      </c>
      <c r="B94" s="47"/>
      <c r="C94" s="47"/>
      <c r="D94" s="47"/>
      <c r="E94" s="47"/>
      <c r="F94" s="47"/>
      <c r="G94" s="47"/>
      <c r="H94" s="47"/>
    </row>
    <row r="95" spans="1:8" ht="15" customHeight="1" x14ac:dyDescent="0.25">
      <c r="A95" s="86" t="s">
        <v>540</v>
      </c>
      <c r="B95" s="47"/>
      <c r="C95" s="47"/>
      <c r="D95" s="47"/>
      <c r="E95" s="47"/>
      <c r="F95" s="47"/>
      <c r="G95" s="47"/>
      <c r="H95" s="47"/>
    </row>
    <row r="96" spans="1:8" ht="15" customHeight="1" x14ac:dyDescent="0.25">
      <c r="A96" s="86" t="s">
        <v>541</v>
      </c>
      <c r="B96" s="47"/>
      <c r="C96" s="47"/>
      <c r="D96" s="47"/>
      <c r="E96" s="47"/>
      <c r="F96" s="47"/>
      <c r="G96" s="47"/>
      <c r="H96" s="47"/>
    </row>
    <row r="97" spans="1:9" ht="15" customHeight="1" x14ac:dyDescent="0.25">
      <c r="A97" s="86" t="s">
        <v>542</v>
      </c>
      <c r="B97" s="47"/>
      <c r="C97" s="47"/>
      <c r="D97" s="47"/>
      <c r="E97" s="47"/>
      <c r="F97" s="47"/>
      <c r="G97" s="47"/>
      <c r="H97" s="47"/>
    </row>
    <row r="98" spans="1:9" ht="15" customHeight="1" x14ac:dyDescent="0.25">
      <c r="A98" s="86" t="s">
        <v>543</v>
      </c>
      <c r="B98" s="47"/>
      <c r="C98" s="47"/>
      <c r="D98" s="47"/>
      <c r="E98" s="47"/>
      <c r="F98" s="47"/>
      <c r="G98" s="47"/>
      <c r="H98" s="47"/>
    </row>
    <row r="99" spans="1:9" ht="5.0999999999999996" customHeight="1" x14ac:dyDescent="0.25">
      <c r="A99" s="86"/>
      <c r="B99" s="47"/>
      <c r="C99" s="47"/>
      <c r="D99" s="47"/>
      <c r="E99" s="47"/>
      <c r="F99" s="47"/>
      <c r="G99" s="47"/>
      <c r="H99" s="47"/>
    </row>
    <row r="100" spans="1:9" ht="15" customHeight="1" x14ac:dyDescent="0.25">
      <c r="A100" s="22" t="s">
        <v>180</v>
      </c>
      <c r="D100" s="454" t="str">
        <f>+'ESPECTRO NSR-10'!D6</f>
        <v>4. Sistema estructural basado en muros de rigidez</v>
      </c>
      <c r="E100" s="454"/>
      <c r="F100" s="454"/>
      <c r="G100" s="454"/>
    </row>
    <row r="101" spans="1:9" ht="15" customHeight="1" x14ac:dyDescent="0.25">
      <c r="A101" s="22" t="s">
        <v>183</v>
      </c>
      <c r="D101" s="479" t="s">
        <v>682</v>
      </c>
      <c r="E101" s="480"/>
      <c r="F101" s="480"/>
      <c r="G101" s="481"/>
    </row>
    <row r="102" spans="1:9" ht="15" customHeight="1" x14ac:dyDescent="0.25">
      <c r="A102" s="22" t="s">
        <v>184</v>
      </c>
      <c r="F102" s="482" t="s">
        <v>725</v>
      </c>
      <c r="G102" s="483"/>
    </row>
    <row r="103" spans="1:9" ht="15" customHeight="1" x14ac:dyDescent="0.25">
      <c r="A103" s="8" t="s">
        <v>185</v>
      </c>
      <c r="E103" s="381">
        <f>+'ESPECTRO NSR-10'!I8</f>
        <v>5</v>
      </c>
      <c r="F103" s="484" t="s">
        <v>84</v>
      </c>
      <c r="G103" s="485"/>
      <c r="I103" s="15"/>
    </row>
    <row r="104" spans="1:9" ht="16.2" x14ac:dyDescent="0.25">
      <c r="A104" s="19" t="s">
        <v>699</v>
      </c>
      <c r="E104" s="381">
        <f>+'ESPECTRO NSR-10'!I11</f>
        <v>2.5</v>
      </c>
      <c r="F104" s="486"/>
      <c r="G104" s="487"/>
      <c r="I104" s="15"/>
    </row>
    <row r="105" spans="1:9" ht="15" customHeight="1" x14ac:dyDescent="0.25">
      <c r="A105" s="8" t="s">
        <v>186</v>
      </c>
      <c r="D105" s="1" t="str">
        <f>+$C$8</f>
        <v>Alta</v>
      </c>
      <c r="E105" s="224" t="s">
        <v>683</v>
      </c>
      <c r="F105" s="486"/>
      <c r="G105" s="487"/>
      <c r="I105" s="15"/>
    </row>
    <row r="106" spans="1:9" ht="15" customHeight="1" x14ac:dyDescent="0.25">
      <c r="A106" s="8" t="s">
        <v>187</v>
      </c>
      <c r="D106" s="1" t="str">
        <f>+$C$8</f>
        <v>Alta</v>
      </c>
      <c r="E106" s="224" t="s">
        <v>687</v>
      </c>
      <c r="F106" s="448"/>
      <c r="G106" s="46"/>
      <c r="H106" s="46"/>
      <c r="I106" s="15"/>
    </row>
    <row r="107" spans="1:9" ht="5.0999999999999996" customHeight="1" x14ac:dyDescent="0.25">
      <c r="A107" s="8"/>
      <c r="E107" s="70"/>
      <c r="F107" s="13"/>
      <c r="G107" s="13"/>
      <c r="H107" s="13"/>
      <c r="I107" s="15"/>
    </row>
    <row r="108" spans="1:9" ht="15" customHeight="1" x14ac:dyDescent="0.25">
      <c r="A108" s="8" t="s">
        <v>193</v>
      </c>
      <c r="E108" s="70"/>
      <c r="F108" s="13"/>
      <c r="G108" s="13"/>
      <c r="H108" s="13"/>
      <c r="I108" s="15"/>
    </row>
    <row r="109" spans="1:9" ht="15" customHeight="1" x14ac:dyDescent="0.25">
      <c r="A109" s="8" t="s">
        <v>192</v>
      </c>
      <c r="E109" s="70"/>
      <c r="F109" s="13"/>
      <c r="G109" s="13"/>
      <c r="H109" s="13"/>
      <c r="I109" s="15"/>
    </row>
    <row r="110" spans="1:9" ht="15" customHeight="1" x14ac:dyDescent="0.25">
      <c r="A110" s="8" t="s">
        <v>188</v>
      </c>
      <c r="E110" s="70"/>
      <c r="F110" s="13"/>
      <c r="G110" s="13"/>
      <c r="H110" s="13"/>
      <c r="I110" s="15"/>
    </row>
    <row r="111" spans="1:9" ht="15" customHeight="1" x14ac:dyDescent="0.25">
      <c r="A111" s="8" t="s">
        <v>189</v>
      </c>
      <c r="E111" s="70"/>
      <c r="F111" s="13"/>
      <c r="G111" s="13"/>
      <c r="H111" s="13"/>
      <c r="I111" s="15"/>
    </row>
    <row r="112" spans="1:9" ht="15" customHeight="1" x14ac:dyDescent="0.25">
      <c r="A112" s="8" t="s">
        <v>190</v>
      </c>
      <c r="E112" s="70"/>
      <c r="F112" s="13"/>
      <c r="G112" s="13"/>
      <c r="H112" s="13"/>
      <c r="I112" s="15"/>
    </row>
    <row r="113" spans="1:9" ht="15" customHeight="1" x14ac:dyDescent="0.25">
      <c r="A113" s="8" t="s">
        <v>191</v>
      </c>
      <c r="E113" s="70"/>
      <c r="F113" s="13"/>
      <c r="G113" s="13"/>
      <c r="H113" s="13"/>
      <c r="I113" s="15"/>
    </row>
    <row r="114" spans="1:9" ht="15" customHeight="1" x14ac:dyDescent="0.25">
      <c r="A114" s="8" t="s">
        <v>199</v>
      </c>
      <c r="E114" s="70"/>
      <c r="F114" s="13"/>
      <c r="G114" s="13"/>
      <c r="H114" s="13"/>
      <c r="I114" s="15"/>
    </row>
    <row r="115" spans="1:9" ht="15" customHeight="1" x14ac:dyDescent="0.25">
      <c r="A115" s="8" t="s">
        <v>200</v>
      </c>
      <c r="E115" s="70"/>
      <c r="F115" s="13"/>
      <c r="G115" s="13"/>
      <c r="H115" s="13"/>
      <c r="I115" s="15"/>
    </row>
    <row r="116" spans="1:9" ht="15" customHeight="1" x14ac:dyDescent="0.25">
      <c r="A116" s="8" t="s">
        <v>201</v>
      </c>
      <c r="E116" s="70"/>
      <c r="F116" s="13"/>
      <c r="G116" s="13"/>
      <c r="H116" s="13"/>
      <c r="I116" s="15"/>
    </row>
    <row r="117" spans="1:9" ht="18" customHeight="1" x14ac:dyDescent="0.25">
      <c r="A117" s="8"/>
      <c r="E117" s="70"/>
      <c r="F117" s="13"/>
      <c r="G117" s="13"/>
      <c r="H117" s="13"/>
      <c r="I117" s="15"/>
    </row>
    <row r="118" spans="1:9" ht="18" customHeight="1" x14ac:dyDescent="0.25">
      <c r="A118" s="8"/>
      <c r="E118" s="70"/>
      <c r="F118" s="13"/>
      <c r="G118" s="13"/>
      <c r="H118" s="13"/>
      <c r="I118" s="15"/>
    </row>
    <row r="119" spans="1:9" ht="15" customHeight="1" x14ac:dyDescent="0.25">
      <c r="A119" s="8" t="s">
        <v>202</v>
      </c>
      <c r="E119" s="70"/>
      <c r="F119" s="13"/>
      <c r="G119" s="13"/>
      <c r="H119" s="13"/>
      <c r="I119" s="15"/>
    </row>
    <row r="120" spans="1:9" ht="15" customHeight="1" x14ac:dyDescent="0.25">
      <c r="A120" s="8" t="s">
        <v>203</v>
      </c>
      <c r="E120" s="70"/>
      <c r="F120" s="13"/>
      <c r="G120" s="13"/>
      <c r="H120" s="13"/>
      <c r="I120" s="15"/>
    </row>
    <row r="121" spans="1:9" ht="15" customHeight="1" x14ac:dyDescent="0.25">
      <c r="A121" s="8" t="s">
        <v>204</v>
      </c>
    </row>
    <row r="122" spans="1:9" ht="5.0999999999999996" customHeight="1" x14ac:dyDescent="0.25">
      <c r="A122" s="8"/>
    </row>
    <row r="123" spans="1:9" ht="15" customHeight="1" x14ac:dyDescent="0.25">
      <c r="A123" s="32" t="s">
        <v>194</v>
      </c>
    </row>
    <row r="124" spans="1:9" ht="15" customHeight="1" x14ac:dyDescent="0.25">
      <c r="A124" s="8" t="s">
        <v>195</v>
      </c>
    </row>
    <row r="125" spans="1:9" ht="15" customHeight="1" x14ac:dyDescent="0.25">
      <c r="A125" s="8" t="s">
        <v>196</v>
      </c>
    </row>
    <row r="126" spans="1:9" ht="15" customHeight="1" x14ac:dyDescent="0.25">
      <c r="A126" s="8" t="s">
        <v>197</v>
      </c>
    </row>
    <row r="127" spans="1:9" ht="15" customHeight="1" x14ac:dyDescent="0.25">
      <c r="A127" s="8" t="s">
        <v>198</v>
      </c>
    </row>
    <row r="128" spans="1:9" ht="5.0999999999999996" customHeight="1" x14ac:dyDescent="0.25">
      <c r="A128" s="83"/>
    </row>
    <row r="129" spans="1:8" ht="15" customHeight="1" x14ac:dyDescent="0.25">
      <c r="A129" s="8" t="s">
        <v>205</v>
      </c>
    </row>
    <row r="130" spans="1:8" ht="15" customHeight="1" x14ac:dyDescent="0.25">
      <c r="A130" s="8" t="s">
        <v>208</v>
      </c>
    </row>
    <row r="131" spans="1:8" ht="15" customHeight="1" x14ac:dyDescent="0.25">
      <c r="A131" s="8" t="s">
        <v>209</v>
      </c>
      <c r="H131" s="8" t="s">
        <v>206</v>
      </c>
    </row>
    <row r="132" spans="1:8" ht="15" customHeight="1" x14ac:dyDescent="0.25">
      <c r="A132" s="83" t="s">
        <v>79</v>
      </c>
      <c r="C132" s="117" t="s">
        <v>684</v>
      </c>
      <c r="D132" s="81" t="s">
        <v>77</v>
      </c>
      <c r="E132" s="192">
        <f>+IF(C132="1aP",0.9,IF(C132="1bP",0.8,IF(C132="2P",0.9,IF(C132="3P",0.9,IF(C132="4P",0.8,IF(C132="5P",0.9,IF(C132="NP",1,"Ingrese criterio valido")))))))</f>
        <v>1</v>
      </c>
      <c r="F132" s="31"/>
    </row>
    <row r="133" spans="1:8" ht="5.0999999999999996" customHeight="1" x14ac:dyDescent="0.25">
      <c r="A133" s="8"/>
      <c r="F133" s="8"/>
    </row>
    <row r="134" spans="1:8" ht="15" customHeight="1" x14ac:dyDescent="0.25">
      <c r="A134" s="8" t="s">
        <v>207</v>
      </c>
    </row>
    <row r="135" spans="1:8" ht="15" customHeight="1" x14ac:dyDescent="0.25">
      <c r="A135" s="8" t="s">
        <v>210</v>
      </c>
    </row>
    <row r="136" spans="1:8" ht="15" customHeight="1" x14ac:dyDescent="0.25">
      <c r="A136" s="8" t="s">
        <v>212</v>
      </c>
      <c r="H136" s="8" t="s">
        <v>211</v>
      </c>
    </row>
    <row r="137" spans="1:8" ht="15" customHeight="1" x14ac:dyDescent="0.25">
      <c r="A137" s="22" t="s">
        <v>80</v>
      </c>
      <c r="C137" s="117" t="s">
        <v>684</v>
      </c>
      <c r="D137" s="81" t="s">
        <v>78</v>
      </c>
      <c r="E137" s="192">
        <f>+IF(C137="1aA",0.9,IF(C137="1bA",0.8,IF(C137="2A",0.9,IF(C137="3A",0.9,IF(C137="4A",0.8,IF(C137="5aA",0.9,IF(C137="5bA",0.8,IF(C137="NP",1,"Ingrese criterio valido"))))))))</f>
        <v>1</v>
      </c>
      <c r="F137" s="16"/>
    </row>
    <row r="138" spans="1:8" ht="5.0999999999999996" customHeight="1" x14ac:dyDescent="0.25">
      <c r="A138" s="22"/>
      <c r="C138" s="16"/>
      <c r="D138" s="81"/>
      <c r="E138" s="82"/>
      <c r="F138" s="16"/>
    </row>
    <row r="139" spans="1:8" ht="15" customHeight="1" x14ac:dyDescent="0.25">
      <c r="A139" s="8" t="s">
        <v>213</v>
      </c>
    </row>
    <row r="140" spans="1:8" ht="15" customHeight="1" x14ac:dyDescent="0.25">
      <c r="A140" s="8" t="s">
        <v>214</v>
      </c>
    </row>
    <row r="141" spans="1:8" ht="15" customHeight="1" x14ac:dyDescent="0.25">
      <c r="A141" s="8" t="s">
        <v>215</v>
      </c>
    </row>
    <row r="142" spans="1:8" ht="15" customHeight="1" x14ac:dyDescent="0.25">
      <c r="A142" s="8" t="s">
        <v>216</v>
      </c>
    </row>
    <row r="143" spans="1:8" ht="5.0999999999999996" customHeight="1" x14ac:dyDescent="0.25">
      <c r="A143" s="32"/>
    </row>
    <row r="144" spans="1:8" ht="15" customHeight="1" x14ac:dyDescent="0.25">
      <c r="A144" s="22" t="s">
        <v>217</v>
      </c>
      <c r="C144" s="31"/>
      <c r="D144" s="81"/>
      <c r="E144" s="82"/>
      <c r="F144" s="31"/>
    </row>
    <row r="145" spans="1:6" ht="15" customHeight="1" x14ac:dyDescent="0.25">
      <c r="A145" s="8" t="s">
        <v>218</v>
      </c>
    </row>
    <row r="146" spans="1:6" ht="15" customHeight="1" x14ac:dyDescent="0.25">
      <c r="A146" s="119" t="s">
        <v>219</v>
      </c>
    </row>
    <row r="147" spans="1:6" ht="15" customHeight="1" x14ac:dyDescent="0.25">
      <c r="A147" s="118" t="s">
        <v>220</v>
      </c>
    </row>
    <row r="148" spans="1:6" ht="15" customHeight="1" x14ac:dyDescent="0.25">
      <c r="A148" s="118" t="s">
        <v>239</v>
      </c>
      <c r="C148" s="81" t="s">
        <v>83</v>
      </c>
      <c r="D148" s="120">
        <v>1</v>
      </c>
    </row>
    <row r="149" spans="1:6" ht="5.0999999999999996" customHeight="1" x14ac:dyDescent="0.25">
      <c r="A149" s="118"/>
      <c r="B149" s="81"/>
      <c r="C149" s="120"/>
    </row>
    <row r="150" spans="1:6" ht="15" customHeight="1" x14ac:dyDescent="0.25">
      <c r="A150" s="119" t="s">
        <v>221</v>
      </c>
      <c r="B150" s="81"/>
      <c r="C150" s="120"/>
    </row>
    <row r="151" spans="1:6" ht="15" customHeight="1" x14ac:dyDescent="0.25">
      <c r="A151" s="118" t="s">
        <v>220</v>
      </c>
      <c r="B151" s="81"/>
      <c r="C151" s="120"/>
    </row>
    <row r="152" spans="1:6" ht="15" customHeight="1" x14ac:dyDescent="0.25">
      <c r="A152" s="118" t="s">
        <v>240</v>
      </c>
      <c r="B152" s="81"/>
      <c r="C152" s="120"/>
      <c r="D152" s="81" t="s">
        <v>83</v>
      </c>
      <c r="E152" s="120">
        <v>1</v>
      </c>
      <c r="F152" s="8" t="s">
        <v>241</v>
      </c>
    </row>
    <row r="153" spans="1:6" ht="15" customHeight="1" x14ac:dyDescent="0.25">
      <c r="A153" s="118" t="s">
        <v>242</v>
      </c>
      <c r="B153" s="81"/>
      <c r="C153" s="120"/>
    </row>
    <row r="154" spans="1:6" ht="15" customHeight="1" x14ac:dyDescent="0.25">
      <c r="A154" s="118" t="s">
        <v>243</v>
      </c>
      <c r="B154" s="81"/>
      <c r="C154" s="120"/>
    </row>
    <row r="155" spans="1:6" ht="15" customHeight="1" x14ac:dyDescent="0.25">
      <c r="A155" s="118" t="s">
        <v>222</v>
      </c>
      <c r="B155" s="81"/>
      <c r="C155" s="120"/>
    </row>
    <row r="156" spans="1:6" ht="15" customHeight="1" x14ac:dyDescent="0.25">
      <c r="A156" s="121" t="s">
        <v>227</v>
      </c>
      <c r="B156" s="81"/>
      <c r="C156" s="120"/>
    </row>
    <row r="157" spans="1:6" ht="15" customHeight="1" x14ac:dyDescent="0.25">
      <c r="A157" s="121" t="s">
        <v>228</v>
      </c>
      <c r="B157" s="81"/>
      <c r="C157" s="120"/>
    </row>
    <row r="158" spans="1:6" ht="15" customHeight="1" x14ac:dyDescent="0.25">
      <c r="A158" s="118" t="s">
        <v>223</v>
      </c>
      <c r="B158" s="81"/>
      <c r="C158" s="120"/>
    </row>
    <row r="159" spans="1:6" ht="15" customHeight="1" x14ac:dyDescent="0.25">
      <c r="A159" s="121" t="s">
        <v>229</v>
      </c>
      <c r="B159" s="81"/>
      <c r="C159" s="120"/>
    </row>
    <row r="160" spans="1:6" ht="15" customHeight="1" x14ac:dyDescent="0.25">
      <c r="A160" s="121" t="s">
        <v>230</v>
      </c>
      <c r="B160" s="81"/>
      <c r="C160" s="120"/>
    </row>
    <row r="161" spans="1:7" ht="15" customHeight="1" x14ac:dyDescent="0.25">
      <c r="A161" s="118" t="s">
        <v>224</v>
      </c>
      <c r="B161" s="81"/>
      <c r="C161" s="120"/>
    </row>
    <row r="162" spans="1:7" ht="15" customHeight="1" x14ac:dyDescent="0.25">
      <c r="A162" s="121" t="s">
        <v>231</v>
      </c>
      <c r="B162" s="81"/>
      <c r="C162" s="120"/>
    </row>
    <row r="163" spans="1:7" ht="15" customHeight="1" x14ac:dyDescent="0.25">
      <c r="A163" s="121" t="s">
        <v>232</v>
      </c>
      <c r="B163" s="81"/>
      <c r="C163" s="120"/>
    </row>
    <row r="164" spans="1:7" ht="15" customHeight="1" x14ac:dyDescent="0.25">
      <c r="A164" s="121" t="s">
        <v>233</v>
      </c>
      <c r="B164" s="81"/>
      <c r="C164" s="120"/>
    </row>
    <row r="165" spans="1:7" ht="15" customHeight="1" x14ac:dyDescent="0.25">
      <c r="A165" s="118" t="s">
        <v>225</v>
      </c>
      <c r="B165" s="81"/>
      <c r="C165" s="120"/>
    </row>
    <row r="166" spans="1:7" ht="15" customHeight="1" x14ac:dyDescent="0.25">
      <c r="A166" s="121" t="s">
        <v>234</v>
      </c>
      <c r="B166" s="81"/>
      <c r="C166" s="120"/>
    </row>
    <row r="167" spans="1:7" ht="15" customHeight="1" x14ac:dyDescent="0.25">
      <c r="A167" s="121" t="s">
        <v>235</v>
      </c>
      <c r="B167" s="81"/>
      <c r="C167" s="120"/>
    </row>
    <row r="168" spans="1:7" ht="15" customHeight="1" x14ac:dyDescent="0.25">
      <c r="A168" s="121" t="s">
        <v>230</v>
      </c>
      <c r="B168" s="81"/>
      <c r="C168" s="120"/>
    </row>
    <row r="169" spans="1:7" ht="15" customHeight="1" x14ac:dyDescent="0.25">
      <c r="A169" s="118" t="s">
        <v>226</v>
      </c>
      <c r="B169" s="81"/>
      <c r="C169" s="120"/>
    </row>
    <row r="170" spans="1:7" ht="15" customHeight="1" x14ac:dyDescent="0.25">
      <c r="A170" s="121" t="s">
        <v>236</v>
      </c>
      <c r="B170" s="81"/>
      <c r="C170" s="120"/>
    </row>
    <row r="171" spans="1:7" ht="5.0999999999999996" customHeight="1" x14ac:dyDescent="0.25">
      <c r="A171" s="121"/>
      <c r="B171" s="81"/>
      <c r="C171" s="120"/>
    </row>
    <row r="172" spans="1:7" ht="15" customHeight="1" x14ac:dyDescent="0.25">
      <c r="A172" s="118" t="s">
        <v>237</v>
      </c>
      <c r="B172" s="81"/>
      <c r="C172" s="120"/>
    </row>
    <row r="173" spans="1:7" ht="15" customHeight="1" x14ac:dyDescent="0.25">
      <c r="A173" s="118" t="s">
        <v>238</v>
      </c>
      <c r="E173" s="81" t="s">
        <v>83</v>
      </c>
      <c r="F173" s="120">
        <v>0.75</v>
      </c>
    </row>
    <row r="174" spans="1:7" ht="15" customHeight="1" x14ac:dyDescent="0.25">
      <c r="A174" s="118" t="s">
        <v>244</v>
      </c>
      <c r="B174" s="81"/>
      <c r="C174" s="120"/>
    </row>
    <row r="175" spans="1:7" ht="15" customHeight="1" x14ac:dyDescent="0.25">
      <c r="A175" s="118" t="s">
        <v>245</v>
      </c>
      <c r="B175" s="81"/>
      <c r="C175" s="120"/>
      <c r="F175" s="81" t="s">
        <v>83</v>
      </c>
      <c r="G175" s="120">
        <v>1</v>
      </c>
    </row>
    <row r="176" spans="1:7" ht="15" customHeight="1" x14ac:dyDescent="0.25">
      <c r="A176" s="118" t="s">
        <v>246</v>
      </c>
      <c r="B176" s="81"/>
      <c r="C176" s="120"/>
    </row>
    <row r="177" spans="1:9" ht="15" customHeight="1" x14ac:dyDescent="0.25">
      <c r="A177" s="118" t="s">
        <v>247</v>
      </c>
      <c r="B177" s="81"/>
      <c r="C177" s="120"/>
    </row>
    <row r="178" spans="1:9" ht="15" customHeight="1" x14ac:dyDescent="0.25">
      <c r="A178" s="118" t="s">
        <v>248</v>
      </c>
      <c r="C178" s="16"/>
      <c r="D178" s="81"/>
      <c r="E178" s="82"/>
      <c r="F178" s="16"/>
    </row>
    <row r="179" spans="1:9" ht="15" customHeight="1" x14ac:dyDescent="0.25">
      <c r="A179" s="118" t="s">
        <v>249</v>
      </c>
      <c r="C179" s="16"/>
      <c r="D179" s="81"/>
      <c r="E179" s="82"/>
      <c r="F179" s="16"/>
    </row>
    <row r="180" spans="1:9" ht="5.0999999999999996" customHeight="1" x14ac:dyDescent="0.25">
      <c r="A180" s="118"/>
      <c r="C180" s="16"/>
      <c r="D180" s="81"/>
      <c r="E180" s="82"/>
      <c r="F180" s="16"/>
    </row>
    <row r="181" spans="1:9" ht="15" customHeight="1" x14ac:dyDescent="0.25">
      <c r="A181" s="125" t="s">
        <v>184</v>
      </c>
      <c r="F181" s="475" t="str">
        <f>+F102</f>
        <v>Especial (DES)</v>
      </c>
      <c r="G181" s="476"/>
      <c r="H181" s="477"/>
    </row>
    <row r="182" spans="1:9" ht="15" customHeight="1" x14ac:dyDescent="0.25">
      <c r="A182" s="125" t="s">
        <v>256</v>
      </c>
      <c r="F182" s="472" t="s">
        <v>255</v>
      </c>
      <c r="G182" s="473"/>
      <c r="H182" s="474"/>
    </row>
    <row r="183" spans="1:9" ht="15" customHeight="1" x14ac:dyDescent="0.25">
      <c r="A183" s="125" t="s">
        <v>82</v>
      </c>
      <c r="F183" s="475" t="str">
        <f>+IF(C132="NP","NO HAY","SI HAY")</f>
        <v>NO HAY</v>
      </c>
      <c r="G183" s="476"/>
      <c r="H183" s="477"/>
    </row>
    <row r="184" spans="1:9" ht="15" customHeight="1" x14ac:dyDescent="0.25">
      <c r="A184" s="125" t="s">
        <v>250</v>
      </c>
      <c r="F184" s="472" t="s">
        <v>1909</v>
      </c>
      <c r="G184" s="473"/>
      <c r="H184" s="474"/>
    </row>
    <row r="185" spans="1:9" ht="15" customHeight="1" x14ac:dyDescent="0.25">
      <c r="A185" s="189" t="s">
        <v>475</v>
      </c>
      <c r="F185"/>
      <c r="G185"/>
      <c r="H185"/>
      <c r="I185"/>
    </row>
    <row r="186" spans="1:9" ht="15" customHeight="1" x14ac:dyDescent="0.25">
      <c r="A186" s="121" t="s">
        <v>251</v>
      </c>
      <c r="C186" s="16"/>
      <c r="D186" s="81"/>
      <c r="E186" s="82"/>
      <c r="F186" s="16"/>
      <c r="H186" s="314" t="s">
        <v>689</v>
      </c>
    </row>
    <row r="187" spans="1:9" ht="15" customHeight="1" x14ac:dyDescent="0.25">
      <c r="A187" s="121" t="s">
        <v>252</v>
      </c>
      <c r="C187" s="16"/>
      <c r="D187" s="275">
        <v>13.65</v>
      </c>
      <c r="E187" s="122" t="s">
        <v>253</v>
      </c>
      <c r="F187" s="275">
        <v>2.42</v>
      </c>
      <c r="G187" s="8" t="s">
        <v>254</v>
      </c>
      <c r="H187" s="421">
        <f>+D187/F187</f>
        <v>5.6404958677685952</v>
      </c>
    </row>
    <row r="188" spans="1:9" s="70" customFormat="1" ht="5.0999999999999996" customHeight="1" x14ac:dyDescent="0.25"/>
    <row r="189" spans="1:9" ht="15" customHeight="1" x14ac:dyDescent="0.25">
      <c r="A189" s="8" t="s">
        <v>257</v>
      </c>
      <c r="E189" s="8" t="s">
        <v>258</v>
      </c>
      <c r="F189" s="81" t="s">
        <v>83</v>
      </c>
      <c r="G189" s="192">
        <f>IF(H186&gt;2,1,0.75)</f>
        <v>1</v>
      </c>
    </row>
    <row r="190" spans="1:9" ht="15" customHeight="1" x14ac:dyDescent="0.25">
      <c r="A190" s="189" t="s">
        <v>476</v>
      </c>
      <c r="F190"/>
      <c r="G190"/>
      <c r="H190"/>
      <c r="I190"/>
    </row>
    <row r="191" spans="1:9" ht="15" customHeight="1" x14ac:dyDescent="0.25">
      <c r="A191" s="121" t="s">
        <v>251</v>
      </c>
      <c r="C191" s="16"/>
      <c r="D191" s="81"/>
      <c r="E191" s="82"/>
      <c r="F191" s="16"/>
      <c r="H191" s="314" t="s">
        <v>689</v>
      </c>
    </row>
    <row r="192" spans="1:9" ht="15" customHeight="1" x14ac:dyDescent="0.25">
      <c r="A192" s="121" t="s">
        <v>252</v>
      </c>
      <c r="C192" s="16"/>
      <c r="D192" s="275">
        <v>8</v>
      </c>
      <c r="E192" s="122" t="s">
        <v>253</v>
      </c>
      <c r="F192" s="275">
        <v>2.42</v>
      </c>
      <c r="G192" s="8" t="s">
        <v>254</v>
      </c>
      <c r="H192" s="449">
        <f>+D192/F192</f>
        <v>3.3057851239669422</v>
      </c>
    </row>
    <row r="193" spans="1:13" s="70" customFormat="1" ht="5.0999999999999996" customHeight="1" x14ac:dyDescent="0.25"/>
    <row r="194" spans="1:13" ht="15" customHeight="1" x14ac:dyDescent="0.25">
      <c r="A194" s="8" t="s">
        <v>257</v>
      </c>
      <c r="E194" s="8" t="s">
        <v>258</v>
      </c>
      <c r="F194" s="81" t="s">
        <v>83</v>
      </c>
      <c r="G194" s="192">
        <f>IF(H191&gt;2,1,0.75)</f>
        <v>1</v>
      </c>
    </row>
    <row r="195" spans="1:13" ht="5.0999999999999996" customHeight="1" x14ac:dyDescent="0.25">
      <c r="B195" s="15"/>
      <c r="C195" s="29"/>
      <c r="D195" s="15"/>
      <c r="E195" s="29"/>
    </row>
    <row r="196" spans="1:13" ht="15" customHeight="1" x14ac:dyDescent="0.25">
      <c r="A196" s="8" t="s">
        <v>259</v>
      </c>
      <c r="B196" s="15"/>
      <c r="C196" s="29"/>
      <c r="D196" s="15"/>
      <c r="E196" s="29"/>
    </row>
    <row r="197" spans="1:13" ht="15" customHeight="1" x14ac:dyDescent="0.25">
      <c r="A197" s="469" t="s">
        <v>260</v>
      </c>
      <c r="B197" s="470"/>
      <c r="C197" s="470"/>
      <c r="D197" s="470"/>
      <c r="E197" s="470"/>
      <c r="F197" s="470"/>
      <c r="G197" s="470"/>
      <c r="H197" s="471"/>
    </row>
    <row r="198" spans="1:13" ht="15" customHeight="1" x14ac:dyDescent="0.25">
      <c r="A198" s="84" t="s">
        <v>261</v>
      </c>
      <c r="B198" s="70"/>
      <c r="C198" s="70"/>
      <c r="D198" s="70"/>
      <c r="E198" s="70"/>
      <c r="F198" s="70"/>
      <c r="G198" s="70"/>
      <c r="H198" s="70"/>
    </row>
    <row r="199" spans="1:13" ht="5.0999999999999996" customHeight="1" x14ac:dyDescent="0.25"/>
    <row r="200" spans="1:13" ht="15" customHeight="1" x14ac:dyDescent="0.25">
      <c r="A200" s="32" t="s">
        <v>262</v>
      </c>
    </row>
    <row r="201" spans="1:13" ht="15" customHeight="1" x14ac:dyDescent="0.25">
      <c r="A201" s="19" t="s">
        <v>544</v>
      </c>
    </row>
    <row r="202" spans="1:13" ht="5.0999999999999996" customHeight="1" x14ac:dyDescent="0.25"/>
    <row r="203" spans="1:13" ht="15" customHeight="1" x14ac:dyDescent="0.25">
      <c r="A203" s="8" t="s">
        <v>263</v>
      </c>
    </row>
    <row r="204" spans="1:13" ht="15" customHeight="1" x14ac:dyDescent="0.25">
      <c r="A204" s="19" t="s">
        <v>545</v>
      </c>
    </row>
    <row r="205" spans="1:13" ht="15" customHeight="1" x14ac:dyDescent="0.25">
      <c r="A205" s="19" t="s">
        <v>330</v>
      </c>
    </row>
    <row r="206" spans="1:13" ht="5.0999999999999996" customHeight="1" x14ac:dyDescent="0.25">
      <c r="A206" s="8"/>
    </row>
    <row r="207" spans="1:13" ht="15" customHeight="1" x14ac:dyDescent="0.25">
      <c r="A207" s="7" t="s">
        <v>546</v>
      </c>
      <c r="B207" s="7"/>
      <c r="C207" s="7"/>
      <c r="D207" s="7"/>
      <c r="E207" s="7"/>
      <c r="F207" s="7"/>
      <c r="G207" s="7"/>
      <c r="H207" s="7"/>
      <c r="J207"/>
      <c r="K207"/>
      <c r="L207"/>
      <c r="M207"/>
    </row>
    <row r="208" spans="1:13" ht="5.0999999999999996" customHeight="1" x14ac:dyDescent="0.25">
      <c r="A208" s="46"/>
      <c r="J208"/>
      <c r="K208"/>
      <c r="L208"/>
      <c r="M208"/>
    </row>
    <row r="209" spans="1:20" ht="16.8" customHeight="1" x14ac:dyDescent="0.25">
      <c r="A209" s="291" t="s">
        <v>435</v>
      </c>
      <c r="B209" s="292" t="s">
        <v>436</v>
      </c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>
        <v>0.12939999999999999</v>
      </c>
    </row>
    <row r="210" spans="1:20" ht="13.8" customHeight="1" x14ac:dyDescent="0.25">
      <c r="A210" s="165" t="s">
        <v>1797</v>
      </c>
      <c r="B210" s="223">
        <v>590.89599999999996</v>
      </c>
      <c r="C210" s="8" t="s">
        <v>266</v>
      </c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</row>
    <row r="211" spans="1:20" ht="13.8" customHeight="1" x14ac:dyDescent="0.25">
      <c r="A211" s="165" t="s">
        <v>1798</v>
      </c>
      <c r="B211" s="223">
        <v>597.88099999999997</v>
      </c>
      <c r="C211" s="8" t="s">
        <v>266</v>
      </c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</row>
    <row r="212" spans="1:20" ht="13.8" customHeight="1" x14ac:dyDescent="0.25">
      <c r="A212" s="165" t="s">
        <v>1799</v>
      </c>
      <c r="B212" s="223">
        <v>609.42399999999998</v>
      </c>
      <c r="C212" s="8" t="s">
        <v>266</v>
      </c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</row>
    <row r="213" spans="1:20" ht="13.8" customHeight="1" x14ac:dyDescent="0.25">
      <c r="A213" s="165" t="s">
        <v>1800</v>
      </c>
      <c r="B213" s="223">
        <v>609.42399999999998</v>
      </c>
      <c r="C213" s="8" t="s">
        <v>266</v>
      </c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</row>
    <row r="214" spans="1:20" ht="13.8" customHeight="1" x14ac:dyDescent="0.25">
      <c r="A214" s="165" t="s">
        <v>1801</v>
      </c>
      <c r="B214" s="223">
        <v>609.42399999999998</v>
      </c>
      <c r="C214" s="8" t="s">
        <v>266</v>
      </c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</row>
    <row r="215" spans="1:20" ht="13.8" customHeight="1" x14ac:dyDescent="0.25">
      <c r="A215" s="165" t="s">
        <v>1802</v>
      </c>
      <c r="B215" s="223">
        <v>609.42399999999998</v>
      </c>
      <c r="C215" s="8" t="s">
        <v>266</v>
      </c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</row>
    <row r="216" spans="1:20" ht="13.8" customHeight="1" x14ac:dyDescent="0.25">
      <c r="A216" s="165" t="s">
        <v>1803</v>
      </c>
      <c r="B216" s="223">
        <v>637.75199999999995</v>
      </c>
      <c r="C216" s="8" t="s">
        <v>266</v>
      </c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</row>
    <row r="217" spans="1:20" ht="13.8" customHeight="1" x14ac:dyDescent="0.25">
      <c r="A217" s="165" t="s">
        <v>1804</v>
      </c>
      <c r="B217" s="223">
        <v>666.08100000000002</v>
      </c>
      <c r="C217" s="8" t="s">
        <v>266</v>
      </c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</row>
    <row r="218" spans="1:20" ht="13.8" customHeight="1" x14ac:dyDescent="0.25">
      <c r="A218" s="165" t="s">
        <v>1805</v>
      </c>
      <c r="B218" s="223">
        <v>666.08100000000002</v>
      </c>
      <c r="C218" s="8" t="s">
        <v>266</v>
      </c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</row>
    <row r="219" spans="1:20" ht="13.8" customHeight="1" x14ac:dyDescent="0.25">
      <c r="A219" s="165" t="s">
        <v>1806</v>
      </c>
      <c r="B219" s="223">
        <v>666.08100000000002</v>
      </c>
      <c r="C219" s="8" t="s">
        <v>266</v>
      </c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</row>
    <row r="220" spans="1:20" ht="13.8" customHeight="1" x14ac:dyDescent="0.25">
      <c r="A220" s="165" t="s">
        <v>1807</v>
      </c>
      <c r="B220" s="223">
        <v>666.08100000000002</v>
      </c>
      <c r="C220" s="8" t="s">
        <v>266</v>
      </c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</row>
    <row r="221" spans="1:20" ht="13.8" customHeight="1" x14ac:dyDescent="0.25">
      <c r="A221" s="165" t="s">
        <v>1808</v>
      </c>
      <c r="B221" s="223">
        <v>699.36</v>
      </c>
      <c r="C221" s="8" t="s">
        <v>266</v>
      </c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</row>
    <row r="222" spans="1:20" ht="13.8" customHeight="1" x14ac:dyDescent="0.25">
      <c r="A222" s="165" t="s">
        <v>1809</v>
      </c>
      <c r="B222" s="223">
        <v>731.70500000000004</v>
      </c>
      <c r="C222" s="8" t="s">
        <v>266</v>
      </c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</row>
    <row r="223" spans="1:20" ht="13.8" customHeight="1" x14ac:dyDescent="0.25">
      <c r="A223" s="165" t="s">
        <v>1810</v>
      </c>
      <c r="B223" s="223">
        <v>722.31600000000003</v>
      </c>
      <c r="C223" s="8" t="s">
        <v>266</v>
      </c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</row>
    <row r="224" spans="1:20" ht="13.8" customHeight="1" x14ac:dyDescent="0.25">
      <c r="A224" s="165" t="s">
        <v>1811</v>
      </c>
      <c r="B224" s="223">
        <v>718.90200000000004</v>
      </c>
      <c r="C224" s="8" t="s">
        <v>266</v>
      </c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</row>
    <row r="225" spans="1:20" ht="13.8" customHeight="1" x14ac:dyDescent="0.25">
      <c r="A225" s="165" t="s">
        <v>1812</v>
      </c>
      <c r="B225" s="223">
        <v>750.78800000000001</v>
      </c>
      <c r="C225" s="8" t="s">
        <v>266</v>
      </c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</row>
    <row r="226" spans="1:20" ht="13.8" customHeight="1" x14ac:dyDescent="0.25">
      <c r="A226" s="165" t="s">
        <v>1813</v>
      </c>
      <c r="B226" s="223">
        <v>223.38</v>
      </c>
      <c r="C226" s="8" t="s">
        <v>266</v>
      </c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</row>
    <row r="227" spans="1:20" ht="13.8" customHeight="1" x14ac:dyDescent="0.25"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</row>
    <row r="228" spans="1:20" s="8" customFormat="1" ht="15" customHeight="1" x14ac:dyDescent="0.25">
      <c r="A228" s="18" t="s">
        <v>0</v>
      </c>
      <c r="B228" s="223">
        <f>SUM(B210:B227)</f>
        <v>10775.000000000002</v>
      </c>
      <c r="C228" s="8" t="s">
        <v>266</v>
      </c>
      <c r="D228" s="8" t="s">
        <v>267</v>
      </c>
      <c r="G228" s="129"/>
      <c r="H228" s="221"/>
      <c r="I228" s="1"/>
      <c r="J228" s="221"/>
    </row>
    <row r="229" spans="1:20" ht="13.2" x14ac:dyDescent="0.25">
      <c r="A229" s="96"/>
      <c r="B229" s="356"/>
      <c r="C229" s="8"/>
      <c r="D229" s="8"/>
      <c r="G229" s="17"/>
      <c r="H229" s="221"/>
      <c r="J229" s="488"/>
      <c r="K229" s="488"/>
      <c r="L229" s="488"/>
      <c r="M229" s="488"/>
      <c r="N229" s="488"/>
      <c r="O229" s="488"/>
    </row>
    <row r="230" spans="1:20" ht="15" customHeight="1" x14ac:dyDescent="0.25">
      <c r="A230" s="164" t="s">
        <v>547</v>
      </c>
      <c r="B230" s="72"/>
      <c r="C230" s="46"/>
      <c r="D230" s="46"/>
      <c r="E230" s="47"/>
      <c r="F230" s="47"/>
      <c r="G230" s="130"/>
    </row>
    <row r="231" spans="1:20" ht="15" customHeight="1" x14ac:dyDescent="0.25">
      <c r="A231" s="164" t="s">
        <v>548</v>
      </c>
      <c r="B231"/>
      <c r="C231" s="8"/>
      <c r="D231" s="8"/>
      <c r="G231" s="17"/>
    </row>
    <row r="232" spans="1:20" ht="15" customHeight="1" x14ac:dyDescent="0.25">
      <c r="A232" s="164" t="s">
        <v>549</v>
      </c>
      <c r="B232"/>
      <c r="C232" s="8"/>
      <c r="D232" s="8"/>
      <c r="G232" s="17"/>
      <c r="I232"/>
    </row>
    <row r="233" spans="1:20" s="8" customFormat="1" ht="15" customHeight="1" x14ac:dyDescent="0.25">
      <c r="A233" s="422" t="s">
        <v>269</v>
      </c>
      <c r="B233" s="276">
        <f>B226</f>
        <v>223.38</v>
      </c>
      <c r="C233" s="8" t="s">
        <v>266</v>
      </c>
      <c r="D233" s="8" t="s">
        <v>268</v>
      </c>
      <c r="G233" s="1"/>
      <c r="H233" s="1"/>
      <c r="I233" s="17"/>
    </row>
    <row r="234" spans="1:20" ht="5.0999999999999996" customHeight="1" x14ac:dyDescent="0.3">
      <c r="A234" s="187"/>
      <c r="B234" s="357"/>
      <c r="C234" s="187"/>
      <c r="D234" s="187"/>
      <c r="E234" s="187"/>
      <c r="F234" s="187"/>
      <c r="I234" s="17"/>
    </row>
    <row r="235" spans="1:20" s="8" customFormat="1" ht="15" customHeight="1" x14ac:dyDescent="0.25">
      <c r="A235" s="13" t="s">
        <v>270</v>
      </c>
      <c r="B235" s="132">
        <f>+B228-B233</f>
        <v>10551.620000000003</v>
      </c>
      <c r="C235" s="8" t="s">
        <v>266</v>
      </c>
      <c r="D235" s="8" t="s">
        <v>134</v>
      </c>
      <c r="E235" s="131"/>
      <c r="I235" s="13"/>
      <c r="O235" s="225"/>
      <c r="P235" s="225"/>
      <c r="Q235" s="225"/>
      <c r="R235" s="225"/>
      <c r="S235" s="225"/>
    </row>
    <row r="236" spans="1:20" ht="5.0999999999999996" customHeight="1" x14ac:dyDescent="0.25">
      <c r="A236" s="46"/>
      <c r="J236" s="225"/>
      <c r="K236" s="225"/>
      <c r="L236" s="225"/>
      <c r="M236" s="225"/>
      <c r="N236" s="225"/>
    </row>
    <row r="237" spans="1:20" ht="15" customHeight="1" x14ac:dyDescent="0.25">
      <c r="A237" s="8" t="s">
        <v>274</v>
      </c>
      <c r="J237" s="225"/>
      <c r="K237" s="225"/>
      <c r="L237" s="265"/>
      <c r="M237" s="225"/>
      <c r="N237" s="225"/>
      <c r="O237" s="225"/>
      <c r="P237" s="225"/>
      <c r="Q237" s="225"/>
      <c r="R237" s="225"/>
      <c r="S237" s="225"/>
    </row>
    <row r="238" spans="1:20" ht="15" customHeight="1" x14ac:dyDescent="0.25">
      <c r="A238" s="164" t="s">
        <v>550</v>
      </c>
      <c r="J238" s="225"/>
      <c r="K238" s="225"/>
      <c r="L238" s="265"/>
      <c r="M238" s="225"/>
      <c r="N238" s="225"/>
      <c r="O238" s="225"/>
      <c r="P238" s="225"/>
      <c r="Q238" s="225"/>
      <c r="R238" s="225"/>
      <c r="S238" s="225"/>
    </row>
    <row r="239" spans="1:20" ht="15" customHeight="1" x14ac:dyDescent="0.25">
      <c r="A239" s="164" t="s">
        <v>551</v>
      </c>
    </row>
    <row r="240" spans="1:20" ht="15" customHeight="1" x14ac:dyDescent="0.25">
      <c r="A240" s="164" t="s">
        <v>552</v>
      </c>
    </row>
    <row r="241" spans="1:25" ht="5.0999999999999996" customHeight="1" x14ac:dyDescent="0.25">
      <c r="A241" s="46"/>
    </row>
    <row r="242" spans="1:25" ht="15" customHeight="1" x14ac:dyDescent="0.25">
      <c r="A242" s="19" t="s">
        <v>485</v>
      </c>
      <c r="B242" s="37"/>
      <c r="C242" s="20"/>
    </row>
    <row r="243" spans="1:25" ht="5.0999999999999996" customHeight="1" x14ac:dyDescent="0.25">
      <c r="A243" s="10"/>
      <c r="B243" s="37"/>
      <c r="C243" s="20"/>
    </row>
    <row r="244" spans="1:25" ht="15" customHeight="1" x14ac:dyDescent="0.3">
      <c r="A244" s="193" t="s">
        <v>479</v>
      </c>
      <c r="B244" s="194"/>
      <c r="C244" s="194"/>
      <c r="D244" s="194"/>
      <c r="E244" s="194"/>
      <c r="F244" s="194"/>
    </row>
    <row r="245" spans="1:25" ht="15" customHeight="1" x14ac:dyDescent="0.3">
      <c r="A245" s="195" t="s">
        <v>480</v>
      </c>
      <c r="B245" s="195" t="s">
        <v>481</v>
      </c>
      <c r="C245" s="195" t="s">
        <v>482</v>
      </c>
      <c r="D245" s="195" t="s">
        <v>434</v>
      </c>
      <c r="E245" s="195" t="s">
        <v>474</v>
      </c>
      <c r="F245" s="195" t="s">
        <v>484</v>
      </c>
    </row>
    <row r="246" spans="1:25" ht="15" customHeight="1" x14ac:dyDescent="0.25">
      <c r="A246" s="196"/>
      <c r="B246" s="196"/>
      <c r="C246" s="196" t="s">
        <v>483</v>
      </c>
      <c r="D246" s="196"/>
      <c r="E246" s="196"/>
      <c r="F246" s="196"/>
    </row>
    <row r="247" spans="1:25" ht="15" customHeight="1" x14ac:dyDescent="0.3">
      <c r="A247" s="256" t="s">
        <v>412</v>
      </c>
      <c r="B247" s="269">
        <v>1</v>
      </c>
      <c r="C247" s="266">
        <v>0.99399999999999999</v>
      </c>
      <c r="D247" s="257">
        <v>0.59819999999999995</v>
      </c>
      <c r="E247" s="258">
        <v>2.9999999999999997E-4</v>
      </c>
      <c r="F247" s="317">
        <v>2.0000000000000001E-4</v>
      </c>
      <c r="G247" s="45" t="str">
        <f>+IF(D247&gt;E247,IF(D247&gt;F247,"Periodo fund. en dir. X","Periodo Torsional"),IF(E247&gt;F247,"Periodo fund. en dir. Y","Periodo Torsional"))</f>
        <v>Periodo fund. en dir. X</v>
      </c>
      <c r="H247" s="45"/>
      <c r="I247" s="45" t="str">
        <f>+IF(D247&gt;E247,IF(D247&gt;F247,"Tux","Trz"),IF(E247&gt;F247,"Tuy","Trz"))</f>
        <v>Tux</v>
      </c>
      <c r="J247" s="313">
        <f>+C247</f>
        <v>0.99399999999999999</v>
      </c>
      <c r="K247" s="272"/>
      <c r="L247" s="272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</row>
    <row r="248" spans="1:25" ht="15" customHeight="1" x14ac:dyDescent="0.25">
      <c r="A248" s="312" t="s">
        <v>412</v>
      </c>
      <c r="B248" s="269">
        <v>3</v>
      </c>
      <c r="C248" s="266">
        <v>0.69099999999999995</v>
      </c>
      <c r="D248" s="258">
        <v>2.0000000000000001E-4</v>
      </c>
      <c r="E248" s="258">
        <v>0.55879999999999996</v>
      </c>
      <c r="F248" s="257">
        <v>4.5699999999999998E-2</v>
      </c>
      <c r="G248" s="45" t="str">
        <f>+IF(D248&gt;E248,IF(D248&gt;F248,"Periodo fund. en dir. X","Periodo Torsional"),IF(E248&gt;F248,"Periodo fund. en dir. Y","Periodo Torsional"))</f>
        <v>Periodo fund. en dir. Y</v>
      </c>
      <c r="H248" s="45"/>
      <c r="I248" s="45" t="str">
        <f>+IF(D248&gt;E248,IF(D248&gt;F248,"Tux","Trz"),IF(E248&gt;F248,"Tuy","Trz"))</f>
        <v>Tuy</v>
      </c>
      <c r="J248" s="313">
        <f>+C248</f>
        <v>0.69099999999999995</v>
      </c>
      <c r="K248" s="221"/>
      <c r="L248" s="221"/>
      <c r="M248" s="231"/>
      <c r="N248" s="221"/>
      <c r="O248" s="231"/>
      <c r="P248" s="221"/>
      <c r="Q248" s="221"/>
      <c r="R248" s="221"/>
      <c r="S248" s="221"/>
      <c r="T248" s="221"/>
      <c r="U248" s="231"/>
    </row>
    <row r="249" spans="1:25" ht="15" customHeight="1" x14ac:dyDescent="0.25">
      <c r="A249" s="259" t="s">
        <v>412</v>
      </c>
      <c r="B249" s="270">
        <v>2</v>
      </c>
      <c r="C249" s="267">
        <v>0.79400000000000004</v>
      </c>
      <c r="D249" s="268">
        <v>2.9999999999999997E-4</v>
      </c>
      <c r="E249" s="268">
        <v>4.0399999999999998E-2</v>
      </c>
      <c r="F249" s="268">
        <v>0.54530000000000001</v>
      </c>
      <c r="G249" s="45" t="str">
        <f>+IF(D249&gt;E249,IF(D249&gt;F249,"Periodo fund. en dir. X","Periodo Torsional"),IF(E249&gt;F249,"Periodo fund. en dir. Y","Periodo Torsional"))</f>
        <v>Periodo Torsional</v>
      </c>
      <c r="H249" s="45"/>
      <c r="I249" s="45" t="str">
        <f>+IF(D249&gt;E249,IF(D249&gt;F249,"Tux","Trz"),IF(E249&gt;F249,"Tuy","Trz"))</f>
        <v>Trz</v>
      </c>
      <c r="J249" s="313">
        <f>+C249</f>
        <v>0.79400000000000004</v>
      </c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</row>
    <row r="250" spans="1:25" ht="15" customHeight="1" x14ac:dyDescent="0.25">
      <c r="A250" s="46"/>
    </row>
    <row r="251" spans="1:25" s="8" customFormat="1" ht="15" customHeight="1" x14ac:dyDescent="0.25">
      <c r="A251" s="230" t="s">
        <v>553</v>
      </c>
      <c r="B251" s="133"/>
    </row>
    <row r="252" spans="1:25" s="8" customFormat="1" ht="15" customHeight="1" x14ac:dyDescent="0.25">
      <c r="A252" s="8" t="s">
        <v>271</v>
      </c>
      <c r="B252" s="133"/>
    </row>
    <row r="253" spans="1:25" ht="15" customHeight="1" x14ac:dyDescent="0.25">
      <c r="A253" s="78" t="s">
        <v>37</v>
      </c>
      <c r="B253" s="79">
        <f>+'ESPECTRO NSR-10'!E24</f>
        <v>0.25</v>
      </c>
      <c r="C253" s="19" t="s">
        <v>1950</v>
      </c>
    </row>
    <row r="254" spans="1:25" ht="15" customHeight="1" x14ac:dyDescent="0.25">
      <c r="A254" s="78" t="s">
        <v>38</v>
      </c>
      <c r="B254" s="79">
        <f>+'ESPECTRO NSR-10'!E30</f>
        <v>2.4</v>
      </c>
      <c r="C254" s="38" t="s">
        <v>39</v>
      </c>
    </row>
    <row r="255" spans="1:25" ht="15" customHeight="1" x14ac:dyDescent="0.25">
      <c r="A255" s="78" t="s">
        <v>36</v>
      </c>
      <c r="B255" s="79">
        <f>IF((1.75-1.2*B253*B254)&lt;=1.2, 1.2, (1.75-1.2*B253*B254))</f>
        <v>1.2</v>
      </c>
      <c r="C255" s="20"/>
    </row>
    <row r="256" spans="1:25" ht="15" customHeight="1" x14ac:dyDescent="0.25">
      <c r="A256" s="19" t="s">
        <v>700</v>
      </c>
      <c r="C256" s="9"/>
      <c r="J256" s="33"/>
    </row>
    <row r="257" spans="1:10" ht="15" customHeight="1" x14ac:dyDescent="0.25">
      <c r="A257" s="19" t="s">
        <v>272</v>
      </c>
      <c r="C257" s="9"/>
      <c r="J257" s="33"/>
    </row>
    <row r="258" spans="1:10" ht="5.0999999999999996" customHeight="1" x14ac:dyDescent="0.25">
      <c r="A258" s="8"/>
      <c r="C258" s="9"/>
      <c r="J258" s="33"/>
    </row>
    <row r="259" spans="1:10" ht="15" customHeight="1" x14ac:dyDescent="0.25">
      <c r="A259" s="4" t="s">
        <v>503</v>
      </c>
      <c r="C259" s="9"/>
      <c r="J259" s="33"/>
    </row>
    <row r="260" spans="1:10" ht="15" customHeight="1" x14ac:dyDescent="0.25">
      <c r="A260" s="21" t="s">
        <v>24</v>
      </c>
      <c r="B260" s="202">
        <f>+'ESPECTRO NSR-10'!E48</f>
        <v>4.9000000000000002E-2</v>
      </c>
      <c r="C260" s="1" t="s">
        <v>701</v>
      </c>
    </row>
    <row r="261" spans="1:10" ht="15" customHeight="1" x14ac:dyDescent="0.25">
      <c r="A261" s="35" t="s">
        <v>35</v>
      </c>
      <c r="B261" s="202">
        <f>+'ESPECTRO NSR-10'!E49</f>
        <v>0.75</v>
      </c>
      <c r="C261" s="1" t="s">
        <v>701</v>
      </c>
    </row>
    <row r="262" spans="1:10" ht="15" customHeight="1" x14ac:dyDescent="0.25">
      <c r="A262" s="21" t="s">
        <v>13</v>
      </c>
      <c r="B262" s="192">
        <f>+'ESPECTRO NSR-10'!E51</f>
        <v>37.799999999999997</v>
      </c>
    </row>
    <row r="263" spans="1:10" ht="15" customHeight="1" x14ac:dyDescent="0.25">
      <c r="A263" s="21" t="s">
        <v>25</v>
      </c>
      <c r="B263" s="134">
        <f>B260*B262^(B261)</f>
        <v>0.74699024420408944</v>
      </c>
      <c r="I263" s="24"/>
    </row>
    <row r="264" spans="1:10" ht="5.0999999999999996" customHeight="1" x14ac:dyDescent="0.25">
      <c r="A264" s="2"/>
      <c r="B264" s="36"/>
      <c r="I264" s="24"/>
    </row>
    <row r="265" spans="1:10" ht="15" customHeight="1" x14ac:dyDescent="0.25">
      <c r="A265" s="4" t="s">
        <v>504</v>
      </c>
      <c r="C265" s="9"/>
    </row>
    <row r="266" spans="1:10" ht="15" customHeight="1" x14ac:dyDescent="0.25">
      <c r="A266" s="21" t="s">
        <v>24</v>
      </c>
      <c r="B266" s="202">
        <f>+B260</f>
        <v>4.9000000000000002E-2</v>
      </c>
    </row>
    <row r="267" spans="1:10" ht="15" customHeight="1" x14ac:dyDescent="0.25">
      <c r="A267" s="35" t="s">
        <v>35</v>
      </c>
      <c r="B267" s="192">
        <f>+B261</f>
        <v>0.75</v>
      </c>
    </row>
    <row r="268" spans="1:10" ht="15" customHeight="1" x14ac:dyDescent="0.25">
      <c r="A268" s="21" t="s">
        <v>13</v>
      </c>
      <c r="B268" s="192">
        <f>+B262</f>
        <v>37.799999999999997</v>
      </c>
    </row>
    <row r="269" spans="1:10" ht="15" customHeight="1" x14ac:dyDescent="0.25">
      <c r="A269" s="21" t="s">
        <v>25</v>
      </c>
      <c r="B269" s="134">
        <f>+B263</f>
        <v>0.74699024420408944</v>
      </c>
      <c r="I269" s="24"/>
    </row>
    <row r="270" spans="1:10" ht="5.0999999999999996" customHeight="1" x14ac:dyDescent="0.25">
      <c r="A270" s="2"/>
      <c r="B270" s="36"/>
      <c r="I270" s="24"/>
    </row>
    <row r="271" spans="1:10" ht="15" customHeight="1" x14ac:dyDescent="0.25">
      <c r="A271" s="5" t="s">
        <v>486</v>
      </c>
      <c r="B271" s="36"/>
      <c r="I271" s="24"/>
    </row>
    <row r="272" spans="1:10" ht="15" customHeight="1" x14ac:dyDescent="0.25">
      <c r="A272" s="164" t="s">
        <v>487</v>
      </c>
    </row>
    <row r="273" spans="1:10" ht="15" customHeight="1" x14ac:dyDescent="0.25">
      <c r="A273" s="21" t="s">
        <v>505</v>
      </c>
      <c r="B273" s="134">
        <f>+B255*B263</f>
        <v>0.8963882930449073</v>
      </c>
    </row>
    <row r="274" spans="1:10" ht="15" customHeight="1" x14ac:dyDescent="0.25">
      <c r="A274" s="21" t="s">
        <v>506</v>
      </c>
      <c r="B274" s="134">
        <f>+B255*B269</f>
        <v>0.8963882930449073</v>
      </c>
    </row>
    <row r="275" spans="1:10" ht="4.8" customHeight="1" x14ac:dyDescent="0.25">
      <c r="A275" s="8"/>
    </row>
    <row r="276" spans="1:10" ht="15" customHeight="1" x14ac:dyDescent="0.25">
      <c r="A276" s="197" t="s">
        <v>488</v>
      </c>
      <c r="B276" s="197" t="s">
        <v>273</v>
      </c>
      <c r="C276" s="197" t="s">
        <v>489</v>
      </c>
      <c r="D276" s="491" t="s">
        <v>490</v>
      </c>
      <c r="E276" s="491"/>
      <c r="F276" s="491"/>
      <c r="G276" s="491"/>
    </row>
    <row r="277" spans="1:10" ht="15" customHeight="1" x14ac:dyDescent="0.25">
      <c r="A277" s="6" t="s">
        <v>497</v>
      </c>
      <c r="B277" s="134">
        <f>+VLOOKUP(A277,$I$247:$J$249,2,0)</f>
        <v>0.99399999999999999</v>
      </c>
      <c r="C277" s="134">
        <f>+$B$273</f>
        <v>0.8963882930449073</v>
      </c>
      <c r="D277" s="492" t="str">
        <f>IF(B277&gt;C277,"EL PERIODO  DEBE AJUSTARSE","EL PERIODO ESTA DENTRO DE LOS LIMITES")</f>
        <v>EL PERIODO  DEBE AJUSTARSE</v>
      </c>
      <c r="E277" s="492"/>
      <c r="F277" s="492"/>
      <c r="G277" s="492"/>
    </row>
    <row r="278" spans="1:10" ht="15" customHeight="1" x14ac:dyDescent="0.25">
      <c r="A278" s="6" t="s">
        <v>498</v>
      </c>
      <c r="B278" s="134">
        <f>+VLOOKUP(A278,$I$247:$J$249,2,0)</f>
        <v>0.69099999999999995</v>
      </c>
      <c r="C278" s="134">
        <f>+$B$274</f>
        <v>0.8963882930449073</v>
      </c>
      <c r="D278" s="492" t="str">
        <f>IF(B278&gt;C278,"EL PERIODO  DEBE AJUSTARSE","EL PERIODO ESTA DENTRO DE LOS LIMITES")</f>
        <v>EL PERIODO ESTA DENTRO DE LOS LIMITES</v>
      </c>
      <c r="E278" s="492"/>
      <c r="F278" s="492"/>
      <c r="G278" s="492"/>
    </row>
    <row r="279" spans="1:10" ht="4.8" customHeight="1" x14ac:dyDescent="0.25">
      <c r="A279" s="13"/>
      <c r="B279" s="181"/>
      <c r="E279"/>
      <c r="F279"/>
      <c r="G279"/>
      <c r="H279"/>
      <c r="I279"/>
      <c r="J279" s="8"/>
    </row>
    <row r="280" spans="1:10" ht="15" customHeight="1" x14ac:dyDescent="0.25">
      <c r="A280" s="164" t="s">
        <v>452</v>
      </c>
      <c r="B280" s="46"/>
      <c r="C280" s="46"/>
      <c r="D280" s="46"/>
      <c r="E280" s="46"/>
      <c r="F280" s="46"/>
      <c r="G280" s="46"/>
      <c r="H280" s="46"/>
      <c r="I280" s="46"/>
      <c r="J280" s="8"/>
    </row>
    <row r="281" spans="1:10" ht="15" customHeight="1" x14ac:dyDescent="0.25">
      <c r="A281" s="164" t="s">
        <v>453</v>
      </c>
      <c r="B281" s="164"/>
      <c r="C281" s="164"/>
      <c r="D281" s="164"/>
      <c r="E281" s="164"/>
      <c r="F281" s="164"/>
      <c r="G281" s="164"/>
      <c r="H281" s="164"/>
      <c r="I281" s="164"/>
      <c r="J281" s="8"/>
    </row>
    <row r="282" spans="1:10" ht="15" customHeight="1" x14ac:dyDescent="0.25">
      <c r="A282" s="164" t="s">
        <v>454</v>
      </c>
      <c r="B282" s="164"/>
      <c r="C282" s="164"/>
      <c r="D282" s="164"/>
      <c r="E282" s="164"/>
      <c r="F282" s="164"/>
      <c r="G282" s="164"/>
      <c r="H282" s="164"/>
      <c r="I282" s="164"/>
      <c r="J282" s="8"/>
    </row>
    <row r="283" spans="1:10" ht="15" customHeight="1" x14ac:dyDescent="0.25">
      <c r="A283" s="182" t="s">
        <v>456</v>
      </c>
      <c r="B283" s="134">
        <f>+B297*2</f>
        <v>1.5999999999999999</v>
      </c>
      <c r="C283" s="1" t="s">
        <v>455</v>
      </c>
      <c r="E283" s="164"/>
      <c r="F283" s="164"/>
      <c r="G283" s="164"/>
      <c r="H283" s="164"/>
      <c r="I283" s="164"/>
      <c r="J283" s="8"/>
    </row>
    <row r="284" spans="1:10" ht="5.0999999999999996" customHeight="1" x14ac:dyDescent="0.25">
      <c r="A284" s="164"/>
      <c r="B284" s="164"/>
      <c r="C284" s="164"/>
      <c r="D284" s="164"/>
      <c r="E284" s="164"/>
      <c r="F284" s="164"/>
      <c r="G284" s="164"/>
      <c r="H284" s="164"/>
      <c r="I284" s="164"/>
      <c r="J284" s="8"/>
    </row>
    <row r="285" spans="1:10" ht="15" customHeight="1" x14ac:dyDescent="0.25">
      <c r="A285" s="197" t="s">
        <v>488</v>
      </c>
      <c r="B285" s="197" t="s">
        <v>273</v>
      </c>
      <c r="C285" s="197" t="s">
        <v>489</v>
      </c>
      <c r="D285" s="491" t="s">
        <v>490</v>
      </c>
      <c r="E285" s="491"/>
      <c r="F285" s="491"/>
      <c r="G285" s="491"/>
    </row>
    <row r="286" spans="1:10" ht="15" customHeight="1" x14ac:dyDescent="0.25">
      <c r="A286" s="6" t="str">
        <f>+A277</f>
        <v>Tux</v>
      </c>
      <c r="B286" s="134">
        <f>+B277</f>
        <v>0.99399999999999999</v>
      </c>
      <c r="C286" s="134">
        <f>+$B$283</f>
        <v>1.5999999999999999</v>
      </c>
      <c r="D286" s="492" t="str">
        <f>IF(B286&gt;C286,"SI SE REQUIERE INTERACCION SUELO-ESTRUCTURA","NO SE REQUIERE INTERACCION SUELO - ESTRUCTURA")</f>
        <v>NO SE REQUIERE INTERACCION SUELO - ESTRUCTURA</v>
      </c>
      <c r="E286" s="492"/>
      <c r="F286" s="492"/>
      <c r="G286" s="492"/>
    </row>
    <row r="287" spans="1:10" ht="15" customHeight="1" x14ac:dyDescent="0.25">
      <c r="A287" s="6" t="str">
        <f>+A278</f>
        <v>Tuy</v>
      </c>
      <c r="B287" s="134">
        <f>+B278</f>
        <v>0.69099999999999995</v>
      </c>
      <c r="C287" s="134">
        <f>+$B$283</f>
        <v>1.5999999999999999</v>
      </c>
      <c r="D287" s="492" t="str">
        <f>IF(B287&gt;C287,"SI SE REQUIERE INTERACCION SUELO-ESTRUCTURA","NO SE REQUIERE INTERACCION SUELO - ESTRUCTURA")</f>
        <v>NO SE REQUIERE INTERACCION SUELO - ESTRUCTURA</v>
      </c>
      <c r="E287" s="492"/>
      <c r="F287" s="492"/>
      <c r="G287" s="492"/>
    </row>
    <row r="288" spans="1:10" ht="5.0999999999999996" customHeight="1" x14ac:dyDescent="0.25">
      <c r="A288" s="164"/>
      <c r="B288" s="164"/>
      <c r="C288" s="164"/>
      <c r="D288" s="164"/>
      <c r="E288" s="164"/>
      <c r="F288" s="164"/>
      <c r="G288" s="164"/>
      <c r="H288" s="164"/>
      <c r="I288" s="164"/>
      <c r="J288" s="8"/>
    </row>
    <row r="289" spans="1:9" ht="15" customHeight="1" x14ac:dyDescent="0.25">
      <c r="A289" s="10" t="s">
        <v>275</v>
      </c>
      <c r="B289" s="37"/>
      <c r="C289" s="20"/>
    </row>
    <row r="290" spans="1:9" ht="15" customHeight="1" x14ac:dyDescent="0.25">
      <c r="A290" s="10" t="s">
        <v>276</v>
      </c>
      <c r="B290" s="37"/>
      <c r="C290" s="20"/>
    </row>
    <row r="291" spans="1:9" ht="15" customHeight="1" x14ac:dyDescent="0.25">
      <c r="A291" s="135" t="s">
        <v>277</v>
      </c>
      <c r="B291" s="37"/>
      <c r="C291" s="20"/>
    </row>
    <row r="292" spans="1:9" ht="5.0999999999999996" customHeight="1" x14ac:dyDescent="0.25">
      <c r="A292" s="135"/>
      <c r="B292" s="37"/>
      <c r="C292" s="20"/>
    </row>
    <row r="293" spans="1:9" ht="15" customHeight="1" x14ac:dyDescent="0.25">
      <c r="A293" s="10" t="s">
        <v>278</v>
      </c>
      <c r="B293" s="17"/>
      <c r="C293" s="19"/>
    </row>
    <row r="294" spans="1:9" ht="15" customHeight="1" x14ac:dyDescent="0.25">
      <c r="A294" s="13" t="str">
        <f>+A286</f>
        <v>Tux</v>
      </c>
      <c r="B294" s="198">
        <f>IF(B277&gt;C277,C277,B277)</f>
        <v>0.8963882930449073</v>
      </c>
      <c r="C294" s="19"/>
    </row>
    <row r="295" spans="1:9" ht="15" customHeight="1" x14ac:dyDescent="0.25">
      <c r="A295" s="13" t="str">
        <f>+A287</f>
        <v>Tuy</v>
      </c>
      <c r="B295" s="198">
        <f>IF(B278&gt;C278,C278,B278)</f>
        <v>0.69099999999999995</v>
      </c>
      <c r="I295" s="24"/>
    </row>
    <row r="296" spans="1:9" ht="5.0999999999999996" customHeight="1" x14ac:dyDescent="0.25">
      <c r="A296" s="13"/>
      <c r="B296"/>
      <c r="I296" s="24"/>
    </row>
    <row r="297" spans="1:9" ht="15" customHeight="1" x14ac:dyDescent="0.25">
      <c r="A297" s="13" t="str">
        <f>+A64</f>
        <v>·  Tc =</v>
      </c>
      <c r="B297" s="134">
        <f>+B64</f>
        <v>0.79999999999999993</v>
      </c>
      <c r="C297" s="10" t="s">
        <v>279</v>
      </c>
      <c r="I297" s="8"/>
    </row>
    <row r="298" spans="1:9" ht="15" customHeight="1" x14ac:dyDescent="0.25">
      <c r="A298" s="13" t="str">
        <f>+A65</f>
        <v>·  TL =</v>
      </c>
      <c r="B298" s="134">
        <f>+B65</f>
        <v>5.76</v>
      </c>
      <c r="C298" s="10" t="s">
        <v>280</v>
      </c>
      <c r="I298" s="8"/>
    </row>
    <row r="299" spans="1:9" ht="5.0999999999999996" customHeight="1" x14ac:dyDescent="0.25">
      <c r="A299" s="13"/>
      <c r="B299" s="13"/>
      <c r="C299" s="13"/>
      <c r="I299" s="8"/>
    </row>
    <row r="300" spans="1:9" ht="15" customHeight="1" x14ac:dyDescent="0.25">
      <c r="A300" s="2" t="str">
        <f>+IF(A294="Tux","Sa_x","Sa_y")</f>
        <v>Sa_x</v>
      </c>
      <c r="B300" s="202">
        <f>+IF(B294&lt;B297,2.5*$B$49*$B$58*E46,(1.2*B52*B61*E46)/$B$294)</f>
        <v>0.8032233414765596</v>
      </c>
      <c r="C300" s="8" t="s">
        <v>281</v>
      </c>
      <c r="D300" s="19" t="s">
        <v>491</v>
      </c>
      <c r="G300" s="1" t="str">
        <f>+IF(A294="Tux","X-X","Y-Y")</f>
        <v>X-X</v>
      </c>
    </row>
    <row r="301" spans="1:9" ht="15" customHeight="1" x14ac:dyDescent="0.25">
      <c r="A301" s="2" t="str">
        <f>+IF(A295="Tux","Sa_x","Sa_y")</f>
        <v>Sa_y</v>
      </c>
      <c r="B301" s="202">
        <f>+IF(B295&lt;B297,2.5*$B$49*$B$58*E46,(1.2*B52*B61*E46)/$B$295)</f>
        <v>0.89999999999999991</v>
      </c>
      <c r="C301" s="8" t="s">
        <v>281</v>
      </c>
      <c r="D301" s="19" t="s">
        <v>491</v>
      </c>
      <c r="G301" s="1" t="str">
        <f>+IF(A295="Tux","X-X","Y-Y")</f>
        <v>Y-Y</v>
      </c>
    </row>
    <row r="302" spans="1:9" ht="5.0999999999999996" customHeight="1" x14ac:dyDescent="0.25">
      <c r="A302" s="2"/>
      <c r="B302" s="199"/>
      <c r="C302" s="8"/>
      <c r="D302" s="19"/>
    </row>
    <row r="303" spans="1:9" ht="15" customHeight="1" x14ac:dyDescent="0.25">
      <c r="A303" s="2" t="str">
        <f>+IF(A294="Tux","Vs_x","Vs_y")</f>
        <v>Vs_x</v>
      </c>
      <c r="B303" s="136">
        <f>+$B$235*B300*9.81</f>
        <v>83142.766323774718</v>
      </c>
      <c r="C303" s="5" t="s">
        <v>14</v>
      </c>
      <c r="D303" s="19" t="s">
        <v>492</v>
      </c>
      <c r="G303" s="1" t="str">
        <f>+IF(A278="Tux","X-X","Y-Y")</f>
        <v>Y-Y</v>
      </c>
    </row>
    <row r="304" spans="1:9" ht="15" customHeight="1" x14ac:dyDescent="0.25">
      <c r="A304" s="2" t="str">
        <f>+IF(A295="Tux","Vs_x","Vs_y")</f>
        <v>Vs_y</v>
      </c>
      <c r="B304" s="136">
        <f>+$B$235*B301*9.81</f>
        <v>93160.252980000005</v>
      </c>
      <c r="C304" s="5" t="s">
        <v>14</v>
      </c>
      <c r="D304" s="19" t="s">
        <v>492</v>
      </c>
      <c r="G304" s="1" t="str">
        <f>+IF(A279="Tux","X-X","Y-Y")</f>
        <v>Y-Y</v>
      </c>
    </row>
    <row r="305" spans="1:14" ht="5.0999999999999996" customHeight="1" x14ac:dyDescent="0.25">
      <c r="A305" s="2"/>
      <c r="B305" s="200"/>
      <c r="C305" s="5"/>
      <c r="D305" s="19"/>
    </row>
    <row r="306" spans="1:14" ht="15" customHeight="1" x14ac:dyDescent="0.25">
      <c r="A306" s="230" t="s">
        <v>513</v>
      </c>
      <c r="B306" s="199"/>
      <c r="C306" s="8"/>
      <c r="D306" s="19"/>
    </row>
    <row r="307" spans="1:14" ht="15" customHeight="1" x14ac:dyDescent="0.25">
      <c r="A307" s="230" t="s">
        <v>514</v>
      </c>
      <c r="B307" s="199"/>
      <c r="C307" s="8"/>
      <c r="D307" s="19"/>
    </row>
    <row r="308" spans="1:14" ht="5.0999999999999996" customHeight="1" x14ac:dyDescent="0.25">
      <c r="A308" s="2"/>
      <c r="B308" s="199"/>
      <c r="C308" s="8"/>
      <c r="D308" s="19"/>
      <c r="J308" s="467"/>
      <c r="K308" s="467"/>
      <c r="L308" s="218"/>
      <c r="M308" s="218"/>
      <c r="N308" s="19"/>
    </row>
    <row r="309" spans="1:14" ht="15" customHeight="1" x14ac:dyDescent="0.3">
      <c r="A309" s="2" t="s">
        <v>499</v>
      </c>
      <c r="B309" s="201">
        <v>-83111.928899999999</v>
      </c>
      <c r="C309" s="201">
        <v>-1E-4</v>
      </c>
      <c r="D309" s="5"/>
      <c r="J309" s="219"/>
      <c r="K309" s="219"/>
      <c r="L309" s="27"/>
      <c r="M309" s="27"/>
      <c r="N309" s="216"/>
    </row>
    <row r="310" spans="1:14" ht="15" customHeight="1" x14ac:dyDescent="0.3">
      <c r="A310" s="2" t="s">
        <v>500</v>
      </c>
      <c r="B310" s="201">
        <v>2.0000000000000001E-4</v>
      </c>
      <c r="C310" s="201">
        <v>-93128.430500000002</v>
      </c>
      <c r="D310" s="5"/>
      <c r="J310" s="219"/>
      <c r="K310" s="219"/>
      <c r="L310" s="27"/>
      <c r="M310" s="27"/>
    </row>
    <row r="311" spans="1:14" ht="5.0999999999999996" customHeight="1" x14ac:dyDescent="0.25">
      <c r="A311" s="2"/>
      <c r="B311" s="199"/>
      <c r="C311" s="8"/>
      <c r="D311" s="19"/>
    </row>
    <row r="312" spans="1:14" ht="15" customHeight="1" x14ac:dyDescent="0.25">
      <c r="A312" s="5" t="s">
        <v>501</v>
      </c>
      <c r="B312" s="199"/>
      <c r="C312" s="8"/>
      <c r="D312" s="19"/>
    </row>
    <row r="313" spans="1:14" ht="5.0999999999999996" customHeight="1" x14ac:dyDescent="0.25">
      <c r="A313" s="2"/>
    </row>
    <row r="314" spans="1:14" ht="15" customHeight="1" x14ac:dyDescent="0.25">
      <c r="A314" s="2" t="str">
        <f>+IF(A294="Tux","Vs_x","Vs_y")</f>
        <v>Vs_x</v>
      </c>
      <c r="B314" s="281">
        <f>+ABS(B309)</f>
        <v>83111.928899999999</v>
      </c>
      <c r="C314" s="5" t="s">
        <v>14</v>
      </c>
      <c r="D314" s="19" t="s">
        <v>492</v>
      </c>
      <c r="G314" s="1" t="str">
        <f>+IF(A294="Tux","X-X","Y-Y")</f>
        <v>X-X</v>
      </c>
      <c r="H314" s="217"/>
    </row>
    <row r="315" spans="1:14" ht="15" customHeight="1" x14ac:dyDescent="0.25">
      <c r="A315" s="2" t="str">
        <f>+IF(A295="Tux","Vs_x","Vs_y")</f>
        <v>Vs_y</v>
      </c>
      <c r="B315" s="281">
        <f>+ABS(C310)</f>
        <v>93128.430500000002</v>
      </c>
      <c r="C315" s="5" t="s">
        <v>14</v>
      </c>
      <c r="D315" s="19" t="s">
        <v>492</v>
      </c>
      <c r="G315" s="1" t="str">
        <f>+IF(A295="Tux","X-X","Y-Y")</f>
        <v>Y-Y</v>
      </c>
      <c r="J315" s="1">
        <f>MAX($B$235*B301*9.81,IF(A295="Tux",ABS(B309),ABS(C310)))</f>
        <v>93160.252980000005</v>
      </c>
    </row>
    <row r="316" spans="1:14" ht="15" customHeight="1" x14ac:dyDescent="0.25">
      <c r="F316" s="27"/>
    </row>
    <row r="317" spans="1:14" ht="15" customHeight="1" x14ac:dyDescent="0.25">
      <c r="A317" s="32" t="s">
        <v>282</v>
      </c>
    </row>
    <row r="318" spans="1:14" ht="15" customHeight="1" x14ac:dyDescent="0.25">
      <c r="A318" s="19" t="s">
        <v>554</v>
      </c>
    </row>
    <row r="319" spans="1:14" ht="15" customHeight="1" x14ac:dyDescent="0.25">
      <c r="A319" s="19" t="s">
        <v>555</v>
      </c>
    </row>
    <row r="320" spans="1:14" ht="15" customHeight="1" x14ac:dyDescent="0.25">
      <c r="A320" s="19" t="s">
        <v>556</v>
      </c>
    </row>
    <row r="321" spans="1:3" ht="15" customHeight="1" x14ac:dyDescent="0.25">
      <c r="A321" s="19" t="s">
        <v>557</v>
      </c>
    </row>
    <row r="322" spans="1:3" ht="5.0999999999999996" customHeight="1" x14ac:dyDescent="0.25">
      <c r="A322" s="8"/>
    </row>
    <row r="323" spans="1:3" ht="15" customHeight="1" x14ac:dyDescent="0.25">
      <c r="A323" s="8" t="s">
        <v>283</v>
      </c>
    </row>
    <row r="324" spans="1:3" ht="15" customHeight="1" x14ac:dyDescent="0.25">
      <c r="A324" s="19" t="s">
        <v>558</v>
      </c>
    </row>
    <row r="325" spans="1:3" ht="15" customHeight="1" x14ac:dyDescent="0.25">
      <c r="A325" s="19" t="s">
        <v>559</v>
      </c>
    </row>
    <row r="326" spans="1:3" ht="5.0999999999999996" customHeight="1" x14ac:dyDescent="0.25">
      <c r="A326" s="19"/>
    </row>
    <row r="327" spans="1:3" ht="15" customHeight="1" x14ac:dyDescent="0.25">
      <c r="A327" s="19" t="s">
        <v>560</v>
      </c>
    </row>
    <row r="328" spans="1:3" ht="15" customHeight="1" x14ac:dyDescent="0.25">
      <c r="A328" s="19" t="s">
        <v>561</v>
      </c>
    </row>
    <row r="329" spans="1:3" ht="15" customHeight="1" x14ac:dyDescent="0.25">
      <c r="A329" s="19" t="s">
        <v>562</v>
      </c>
    </row>
    <row r="330" spans="1:3" ht="15" customHeight="1" x14ac:dyDescent="0.25">
      <c r="A330" s="19" t="s">
        <v>285</v>
      </c>
    </row>
    <row r="331" spans="1:3" ht="15" customHeight="1" x14ac:dyDescent="0.25">
      <c r="A331" s="8" t="s">
        <v>286</v>
      </c>
    </row>
    <row r="332" spans="1:3" ht="15" customHeight="1" x14ac:dyDescent="0.25">
      <c r="A332" s="78" t="s">
        <v>289</v>
      </c>
      <c r="B332" s="78" t="s">
        <v>287</v>
      </c>
      <c r="C332" s="78" t="s">
        <v>288</v>
      </c>
    </row>
    <row r="333" spans="1:3" ht="15" customHeight="1" x14ac:dyDescent="0.25">
      <c r="A333" s="6">
        <f>+B333/0.007</f>
        <v>3000</v>
      </c>
      <c r="B333" s="137">
        <v>21</v>
      </c>
      <c r="C333" s="138">
        <f>4700*SQRT(B333)</f>
        <v>21538.105766292447</v>
      </c>
    </row>
    <row r="334" spans="1:3" ht="15" customHeight="1" x14ac:dyDescent="0.25">
      <c r="A334" s="6">
        <f>+B334/0.007</f>
        <v>3500</v>
      </c>
      <c r="B334" s="137">
        <f>+B333+3.5</f>
        <v>24.5</v>
      </c>
      <c r="C334" s="138">
        <f>4700*SQRT(B334)</f>
        <v>23263.813101037413</v>
      </c>
    </row>
    <row r="335" spans="1:3" ht="15" customHeight="1" x14ac:dyDescent="0.25">
      <c r="A335" s="6">
        <f>+B335/0.007</f>
        <v>4000</v>
      </c>
      <c r="B335" s="137">
        <f>+B334+3.5</f>
        <v>28</v>
      </c>
      <c r="C335" s="138">
        <f>4700*SQRT(B335)</f>
        <v>24870.062324007155</v>
      </c>
    </row>
    <row r="336" spans="1:3" ht="15" customHeight="1" x14ac:dyDescent="0.25">
      <c r="A336" s="6">
        <f>+B336/0.007</f>
        <v>4500</v>
      </c>
      <c r="B336" s="137">
        <f>+B335+3.5</f>
        <v>31.5</v>
      </c>
      <c r="C336" s="138">
        <f>4700*SQRT(B336)</f>
        <v>26378.684576756288</v>
      </c>
    </row>
    <row r="337" spans="1:9" ht="15" customHeight="1" x14ac:dyDescent="0.25">
      <c r="A337" s="6">
        <f>+B337/0.007</f>
        <v>5000</v>
      </c>
      <c r="B337" s="137">
        <f>+B336+3.5</f>
        <v>35</v>
      </c>
      <c r="C337" s="138">
        <f>4700*SQRT(B337)</f>
        <v>27805.574980568195</v>
      </c>
    </row>
    <row r="338" spans="1:9" ht="15" customHeight="1" x14ac:dyDescent="0.25">
      <c r="A338" s="10" t="s">
        <v>290</v>
      </c>
      <c r="B338" s="70"/>
      <c r="C338" s="139"/>
    </row>
    <row r="339" spans="1:9" s="124" customFormat="1" ht="15" customHeight="1" x14ac:dyDescent="0.25">
      <c r="A339" s="158" t="s">
        <v>293</v>
      </c>
      <c r="B339" s="98"/>
      <c r="C339" s="159"/>
      <c r="D339" s="100"/>
      <c r="E339" s="100"/>
      <c r="F339" s="100"/>
      <c r="G339" s="100"/>
      <c r="H339" s="100"/>
      <c r="I339" s="100"/>
    </row>
    <row r="340" spans="1:9" s="124" customFormat="1" ht="15" customHeight="1" x14ac:dyDescent="0.25">
      <c r="A340" s="158" t="s">
        <v>294</v>
      </c>
      <c r="B340" s="98"/>
      <c r="C340" s="159"/>
      <c r="D340" s="100"/>
      <c r="E340" s="100"/>
      <c r="F340" s="100"/>
      <c r="G340" s="100"/>
      <c r="H340" s="100"/>
      <c r="I340" s="100"/>
    </row>
    <row r="341" spans="1:9" s="124" customFormat="1" ht="15" customHeight="1" x14ac:dyDescent="0.25">
      <c r="A341" s="160" t="s">
        <v>406</v>
      </c>
      <c r="B341" s="98"/>
      <c r="C341" s="159"/>
      <c r="D341" s="100"/>
      <c r="E341" s="100"/>
      <c r="F341" s="100"/>
      <c r="G341" s="100"/>
      <c r="H341" s="100"/>
      <c r="I341" s="100"/>
    </row>
    <row r="342" spans="1:9" s="124" customFormat="1" ht="15" customHeight="1" x14ac:dyDescent="0.25">
      <c r="A342" s="160" t="s">
        <v>407</v>
      </c>
      <c r="B342" s="98"/>
      <c r="C342" s="159"/>
      <c r="D342" s="100"/>
      <c r="E342" s="100"/>
      <c r="F342" s="100"/>
      <c r="G342" s="100"/>
      <c r="H342" s="100"/>
      <c r="I342" s="100"/>
    </row>
    <row r="343" spans="1:9" s="124" customFormat="1" ht="15" customHeight="1" x14ac:dyDescent="0.25">
      <c r="A343" s="160" t="s">
        <v>408</v>
      </c>
      <c r="B343" s="98"/>
      <c r="C343" s="159"/>
      <c r="D343" s="100"/>
      <c r="E343" s="100"/>
      <c r="F343" s="100"/>
      <c r="G343" s="100"/>
      <c r="H343" s="100"/>
      <c r="I343" s="100"/>
    </row>
    <row r="344" spans="1:9" ht="15" customHeight="1" x14ac:dyDescent="0.25">
      <c r="A344" s="10" t="s">
        <v>291</v>
      </c>
      <c r="B344" s="70"/>
      <c r="C344" s="139"/>
    </row>
    <row r="345" spans="1:9" ht="15" customHeight="1" x14ac:dyDescent="0.25">
      <c r="A345" s="118" t="s">
        <v>292</v>
      </c>
      <c r="B345" s="70"/>
      <c r="C345" s="139"/>
    </row>
    <row r="346" spans="1:9" ht="5.0999999999999996" customHeight="1" x14ac:dyDescent="0.25">
      <c r="A346" s="2"/>
      <c r="B346" s="70"/>
      <c r="C346" s="139"/>
    </row>
    <row r="347" spans="1:9" ht="15" customHeight="1" x14ac:dyDescent="0.25">
      <c r="A347" s="230" t="s">
        <v>563</v>
      </c>
      <c r="B347" s="70"/>
      <c r="C347" s="139"/>
    </row>
    <row r="348" spans="1:9" ht="15" customHeight="1" x14ac:dyDescent="0.25">
      <c r="A348" s="230" t="s">
        <v>564</v>
      </c>
      <c r="B348" s="70"/>
      <c r="C348" s="139"/>
    </row>
    <row r="349" spans="1:9" ht="15" customHeight="1" x14ac:dyDescent="0.25">
      <c r="A349" s="230" t="s">
        <v>565</v>
      </c>
      <c r="B349" s="70"/>
      <c r="C349" s="139"/>
    </row>
    <row r="350" spans="1:9" ht="15" customHeight="1" x14ac:dyDescent="0.25">
      <c r="A350" s="230" t="s">
        <v>566</v>
      </c>
      <c r="B350" s="70"/>
      <c r="C350" s="139"/>
    </row>
    <row r="351" spans="1:9" ht="15" customHeight="1" x14ac:dyDescent="0.25">
      <c r="A351" s="230" t="s">
        <v>567</v>
      </c>
      <c r="B351" s="70"/>
      <c r="C351" s="139"/>
    </row>
    <row r="352" spans="1:9" ht="15" customHeight="1" x14ac:dyDescent="0.25">
      <c r="A352" s="230" t="s">
        <v>568</v>
      </c>
      <c r="B352" s="70"/>
      <c r="C352" s="139"/>
    </row>
    <row r="353" spans="1:17" s="47" customFormat="1" ht="15" customHeight="1" x14ac:dyDescent="0.25">
      <c r="A353" s="459"/>
      <c r="B353" s="459"/>
      <c r="C353" s="459"/>
      <c r="D353" s="459"/>
      <c r="E353" s="143"/>
      <c r="F353" s="143"/>
      <c r="G353" s="143"/>
      <c r="H353" s="143"/>
      <c r="I353" s="70"/>
      <c r="J353" s="70"/>
      <c r="K353" s="70"/>
      <c r="L353" s="70"/>
      <c r="M353" s="70"/>
      <c r="N353" s="70"/>
      <c r="O353" s="70"/>
      <c r="P353" s="70"/>
      <c r="Q353" s="70"/>
    </row>
    <row r="354" spans="1:17" s="47" customFormat="1" ht="15" customHeight="1" x14ac:dyDescent="0.25">
      <c r="A354" s="459"/>
      <c r="B354" s="459"/>
      <c r="C354" s="459"/>
      <c r="D354" s="459"/>
      <c r="E354" s="70"/>
      <c r="F354" s="70"/>
      <c r="G354" s="70"/>
      <c r="H354" s="142"/>
      <c r="I354" s="70"/>
      <c r="J354" s="70"/>
      <c r="K354" s="70"/>
      <c r="L354" s="70"/>
      <c r="M354" s="70"/>
      <c r="N354" s="70"/>
      <c r="O354" s="70"/>
      <c r="P354" s="70"/>
      <c r="Q354" s="70"/>
    </row>
    <row r="355" spans="1:17" s="47" customFormat="1" ht="15" customHeight="1" x14ac:dyDescent="0.25">
      <c r="A355" s="459"/>
      <c r="B355" s="459"/>
      <c r="C355" s="459"/>
      <c r="D355" s="459"/>
      <c r="E355" s="70"/>
      <c r="F355" s="70"/>
      <c r="G355" s="70"/>
      <c r="H355" s="142"/>
      <c r="I355" s="70"/>
      <c r="J355" s="70"/>
      <c r="K355" s="70"/>
      <c r="L355" s="70"/>
      <c r="M355" s="70"/>
      <c r="N355" s="70"/>
      <c r="O355" s="70"/>
      <c r="P355" s="70"/>
      <c r="Q355" s="70"/>
    </row>
    <row r="356" spans="1:17" s="47" customFormat="1" ht="15" customHeight="1" x14ac:dyDescent="0.25">
      <c r="A356" s="140" t="s">
        <v>295</v>
      </c>
      <c r="B356" s="140"/>
      <c r="C356" s="140"/>
      <c r="D356" s="140"/>
      <c r="E356" s="46"/>
      <c r="F356" s="142"/>
      <c r="G356" s="46"/>
      <c r="H356" s="142"/>
      <c r="I356" s="70"/>
      <c r="J356" s="70"/>
      <c r="K356" s="70"/>
      <c r="L356" s="70"/>
      <c r="M356" s="70"/>
      <c r="N356" s="70"/>
      <c r="O356" s="70"/>
      <c r="P356" s="70"/>
      <c r="Q356" s="70"/>
    </row>
    <row r="357" spans="1:17" s="47" customFormat="1" ht="15" customHeight="1" x14ac:dyDescent="0.25">
      <c r="A357" s="455" t="s">
        <v>1814</v>
      </c>
      <c r="B357" s="458" t="s">
        <v>299</v>
      </c>
      <c r="C357" s="458"/>
      <c r="D357" s="458"/>
      <c r="E357" s="460"/>
      <c r="F357" s="460"/>
      <c r="G357" s="460"/>
      <c r="H357" s="460"/>
      <c r="I357" s="70"/>
      <c r="J357" s="70"/>
      <c r="K357" s="70"/>
      <c r="L357" s="70"/>
      <c r="M357" s="70"/>
      <c r="N357" s="70"/>
      <c r="O357" s="70"/>
      <c r="P357" s="70"/>
      <c r="Q357" s="70"/>
    </row>
    <row r="358" spans="1:17" s="47" customFormat="1" ht="15" customHeight="1" x14ac:dyDescent="0.25">
      <c r="A358" s="456"/>
      <c r="B358" s="458"/>
      <c r="C358" s="458"/>
      <c r="D358" s="458"/>
      <c r="E358" s="460"/>
      <c r="F358" s="460"/>
      <c r="G358" s="460"/>
      <c r="H358" s="460"/>
      <c r="I358" s="70"/>
      <c r="J358" s="70"/>
      <c r="K358" s="70"/>
      <c r="L358" s="70"/>
      <c r="M358" s="70"/>
      <c r="N358" s="70"/>
      <c r="O358" s="70"/>
      <c r="P358" s="70"/>
      <c r="Q358" s="70"/>
    </row>
    <row r="359" spans="1:17" s="47" customFormat="1" ht="15" customHeight="1" x14ac:dyDescent="0.25">
      <c r="A359" s="455" t="s">
        <v>1815</v>
      </c>
      <c r="B359" s="466" t="s">
        <v>298</v>
      </c>
      <c r="C359" s="466"/>
      <c r="D359" s="466"/>
      <c r="E359" s="466"/>
      <c r="F359" s="466"/>
      <c r="G359" s="466"/>
      <c r="H359" s="466"/>
      <c r="I359" s="466"/>
      <c r="J359" s="70"/>
      <c r="K359" s="70"/>
      <c r="L359" s="70"/>
      <c r="M359" s="70"/>
      <c r="N359" s="70"/>
      <c r="O359" s="70"/>
      <c r="P359" s="70"/>
      <c r="Q359" s="70"/>
    </row>
    <row r="360" spans="1:17" s="47" customFormat="1" ht="15" customHeight="1" x14ac:dyDescent="0.25">
      <c r="A360" s="456"/>
      <c r="B360" s="466"/>
      <c r="C360" s="466"/>
      <c r="D360" s="466"/>
      <c r="E360" s="466"/>
      <c r="F360" s="466"/>
      <c r="G360" s="466"/>
      <c r="H360" s="466"/>
      <c r="I360" s="466"/>
      <c r="J360" s="70"/>
      <c r="K360" s="70"/>
      <c r="L360" s="70"/>
      <c r="M360" s="70"/>
      <c r="N360" s="70"/>
      <c r="O360" s="70"/>
      <c r="P360" s="70"/>
      <c r="Q360" s="70"/>
    </row>
    <row r="361" spans="1:17" s="47" customFormat="1" ht="15" customHeight="1" x14ac:dyDescent="0.25">
      <c r="A361" s="347" t="s">
        <v>1816</v>
      </c>
      <c r="B361" s="458" t="s">
        <v>296</v>
      </c>
      <c r="C361" s="458"/>
      <c r="D361" s="458"/>
      <c r="E361" s="141"/>
      <c r="F361" s="140"/>
      <c r="G361" s="142"/>
      <c r="H361" s="142"/>
      <c r="I361" s="70"/>
      <c r="J361" s="70"/>
      <c r="K361" s="70"/>
      <c r="L361" s="70"/>
      <c r="M361" s="70"/>
      <c r="N361" s="70"/>
      <c r="O361" s="70"/>
      <c r="P361" s="70"/>
      <c r="Q361" s="70"/>
    </row>
    <row r="362" spans="1:17" s="47" customFormat="1" ht="15" customHeight="1" x14ac:dyDescent="0.25">
      <c r="A362" s="347" t="s">
        <v>1817</v>
      </c>
      <c r="B362" s="458" t="s">
        <v>297</v>
      </c>
      <c r="C362" s="458"/>
      <c r="D362" s="458"/>
      <c r="E362" s="141"/>
      <c r="F362" s="140"/>
      <c r="G362" s="142"/>
      <c r="H362" s="142"/>
      <c r="I362" s="70"/>
      <c r="J362" s="70"/>
      <c r="K362" s="70"/>
      <c r="L362" s="70"/>
      <c r="M362" s="70"/>
      <c r="N362" s="70"/>
      <c r="O362" s="70"/>
      <c r="P362" s="70"/>
      <c r="Q362" s="70"/>
    </row>
    <row r="363" spans="1:17" customFormat="1" ht="5.0999999999999996" customHeight="1" x14ac:dyDescent="0.25"/>
    <row r="364" spans="1:17" ht="15" customHeight="1" x14ac:dyDescent="0.25">
      <c r="A364" s="8" t="s">
        <v>300</v>
      </c>
    </row>
    <row r="365" spans="1:17" ht="15" customHeight="1" x14ac:dyDescent="0.25">
      <c r="A365" s="19" t="s">
        <v>569</v>
      </c>
    </row>
    <row r="366" spans="1:17" ht="15" customHeight="1" x14ac:dyDescent="0.25">
      <c r="A366" s="19" t="s">
        <v>570</v>
      </c>
    </row>
    <row r="367" spans="1:17" ht="15" customHeight="1" x14ac:dyDescent="0.25">
      <c r="A367" s="19" t="s">
        <v>571</v>
      </c>
    </row>
    <row r="368" spans="1:17" ht="15" customHeight="1" x14ac:dyDescent="0.25">
      <c r="A368" s="19" t="s">
        <v>572</v>
      </c>
    </row>
    <row r="369" spans="1:1" ht="15" customHeight="1" x14ac:dyDescent="0.25">
      <c r="A369" s="19" t="s">
        <v>573</v>
      </c>
    </row>
    <row r="370" spans="1:1" ht="15" customHeight="1" x14ac:dyDescent="0.25">
      <c r="A370" s="19" t="s">
        <v>574</v>
      </c>
    </row>
    <row r="371" spans="1:1" ht="15" customHeight="1" x14ac:dyDescent="0.25">
      <c r="A371" s="19" t="s">
        <v>575</v>
      </c>
    </row>
    <row r="372" spans="1:1" ht="15" customHeight="1" x14ac:dyDescent="0.25">
      <c r="A372" s="19" t="s">
        <v>576</v>
      </c>
    </row>
    <row r="373" spans="1:1" ht="15" customHeight="1" x14ac:dyDescent="0.25">
      <c r="A373" s="19" t="s">
        <v>577</v>
      </c>
    </row>
    <row r="374" spans="1:1" ht="15" customHeight="1" x14ac:dyDescent="0.25">
      <c r="A374" s="19" t="s">
        <v>578</v>
      </c>
    </row>
    <row r="375" spans="1:1" ht="15" customHeight="1" x14ac:dyDescent="0.25">
      <c r="A375" s="19" t="s">
        <v>319</v>
      </c>
    </row>
    <row r="376" spans="1:1" ht="15" customHeight="1" x14ac:dyDescent="0.25">
      <c r="A376" s="19" t="s">
        <v>320</v>
      </c>
    </row>
    <row r="377" spans="1:1" ht="5.0999999999999996" customHeight="1" x14ac:dyDescent="0.25">
      <c r="A377" s="8"/>
    </row>
    <row r="378" spans="1:1" ht="15" customHeight="1" x14ac:dyDescent="0.25">
      <c r="A378" s="8" t="s">
        <v>301</v>
      </c>
    </row>
    <row r="379" spans="1:1" ht="15" customHeight="1" x14ac:dyDescent="0.25">
      <c r="A379" s="8" t="s">
        <v>302</v>
      </c>
    </row>
    <row r="380" spans="1:1" ht="15" customHeight="1" x14ac:dyDescent="0.25">
      <c r="A380" s="8" t="s">
        <v>303</v>
      </c>
    </row>
    <row r="381" spans="1:1" ht="15" customHeight="1" x14ac:dyDescent="0.25">
      <c r="A381" s="8" t="s">
        <v>306</v>
      </c>
    </row>
    <row r="382" spans="1:1" ht="15" customHeight="1" x14ac:dyDescent="0.25">
      <c r="A382" s="118" t="s">
        <v>304</v>
      </c>
    </row>
    <row r="383" spans="1:1" ht="15" customHeight="1" x14ac:dyDescent="0.25">
      <c r="A383" s="118" t="s">
        <v>305</v>
      </c>
    </row>
    <row r="384" spans="1:1" ht="5.0999999999999996" customHeight="1" x14ac:dyDescent="0.25">
      <c r="A384" s="118"/>
    </row>
    <row r="385" spans="1:5" ht="15" customHeight="1" x14ac:dyDescent="0.25">
      <c r="A385" s="118" t="s">
        <v>307</v>
      </c>
      <c r="E385" s="316">
        <f>+'ESPECTRO NSR-10'!F3</f>
        <v>16</v>
      </c>
    </row>
    <row r="386" spans="1:5" ht="15" customHeight="1" x14ac:dyDescent="0.25">
      <c r="A386" s="118" t="s">
        <v>308</v>
      </c>
      <c r="E386" s="145" t="s">
        <v>255</v>
      </c>
    </row>
    <row r="387" spans="1:5" ht="15" customHeight="1" x14ac:dyDescent="0.25">
      <c r="A387" s="118" t="s">
        <v>309</v>
      </c>
      <c r="E387" s="146" t="str">
        <f>+'ESPECTRO NSR-10'!D18</f>
        <v>Alta</v>
      </c>
    </row>
    <row r="388" spans="1:5" ht="15" customHeight="1" x14ac:dyDescent="0.25">
      <c r="A388" s="118" t="s">
        <v>310</v>
      </c>
      <c r="E388" s="146" t="str">
        <f>+C132</f>
        <v>NP</v>
      </c>
    </row>
    <row r="389" spans="1:5" ht="15" customHeight="1" x14ac:dyDescent="0.25">
      <c r="A389" s="118" t="s">
        <v>311</v>
      </c>
      <c r="E389" s="146" t="str">
        <f>+IF(E386="SI","NO",IF(AND(E385=1,OR(E388="1aP",E388="1bP",E388="2P",E388="3P",E388="4P",E388="NP")),"NO",IF(E387="Baja","NO","SI")))</f>
        <v>SI</v>
      </c>
    </row>
    <row r="390" spans="1:5" ht="15" customHeight="1" x14ac:dyDescent="0.25">
      <c r="A390" s="8" t="s">
        <v>312</v>
      </c>
    </row>
    <row r="391" spans="1:5" ht="15" customHeight="1" x14ac:dyDescent="0.25">
      <c r="A391" s="8" t="s">
        <v>313</v>
      </c>
    </row>
    <row r="392" spans="1:5" ht="15" customHeight="1" x14ac:dyDescent="0.25">
      <c r="A392" s="8" t="s">
        <v>314</v>
      </c>
    </row>
    <row r="393" spans="1:5" ht="15" customHeight="1" x14ac:dyDescent="0.25">
      <c r="A393" s="8" t="s">
        <v>315</v>
      </c>
    </row>
    <row r="394" spans="1:5" ht="15" customHeight="1" x14ac:dyDescent="0.25">
      <c r="A394" s="8" t="s">
        <v>316</v>
      </c>
    </row>
    <row r="395" spans="1:5" ht="5.0999999999999996" customHeight="1" x14ac:dyDescent="0.25">
      <c r="A395" s="8"/>
    </row>
    <row r="396" spans="1:5" ht="15" customHeight="1" x14ac:dyDescent="0.25">
      <c r="A396" s="78" t="s">
        <v>349</v>
      </c>
      <c r="B396" s="78" t="s">
        <v>350</v>
      </c>
      <c r="C396" s="78" t="s">
        <v>351</v>
      </c>
    </row>
    <row r="397" spans="1:5" ht="15" customHeight="1" x14ac:dyDescent="0.25">
      <c r="A397" s="174" t="s">
        <v>429</v>
      </c>
      <c r="B397" s="147">
        <v>1</v>
      </c>
      <c r="C397" s="147">
        <v>0.3</v>
      </c>
      <c r="D397" s="19" t="s">
        <v>405</v>
      </c>
    </row>
    <row r="398" spans="1:5" ht="15" customHeight="1" x14ac:dyDescent="0.25">
      <c r="A398" s="174" t="s">
        <v>430</v>
      </c>
      <c r="B398" s="147">
        <v>0.3</v>
      </c>
      <c r="C398" s="147">
        <v>1</v>
      </c>
      <c r="D398" s="19" t="s">
        <v>405</v>
      </c>
    </row>
    <row r="399" spans="1:5" ht="5.0999999999999996" customHeight="1" x14ac:dyDescent="0.25">
      <c r="A399" s="8"/>
    </row>
    <row r="400" spans="1:5" ht="15" customHeight="1" x14ac:dyDescent="0.25">
      <c r="A400" s="8" t="s">
        <v>317</v>
      </c>
    </row>
    <row r="401" spans="1:8" ht="15" customHeight="1" x14ac:dyDescent="0.25">
      <c r="A401" s="19" t="s">
        <v>579</v>
      </c>
    </row>
    <row r="402" spans="1:8" ht="15" customHeight="1" x14ac:dyDescent="0.25">
      <c r="A402" s="19" t="s">
        <v>580</v>
      </c>
    </row>
    <row r="403" spans="1:8" ht="15" customHeight="1" x14ac:dyDescent="0.25">
      <c r="A403" s="19" t="s">
        <v>581</v>
      </c>
    </row>
    <row r="404" spans="1:8" ht="15" customHeight="1" x14ac:dyDescent="0.25">
      <c r="A404" s="19" t="s">
        <v>582</v>
      </c>
    </row>
    <row r="405" spans="1:8" ht="5.0999999999999996" customHeight="1" x14ac:dyDescent="0.25">
      <c r="A405" s="8"/>
    </row>
    <row r="406" spans="1:8" ht="15" customHeight="1" x14ac:dyDescent="0.25">
      <c r="A406" s="8" t="s">
        <v>318</v>
      </c>
    </row>
    <row r="407" spans="1:8" ht="15" customHeight="1" x14ac:dyDescent="0.25">
      <c r="A407" s="22" t="s">
        <v>583</v>
      </c>
      <c r="B407" s="22"/>
      <c r="C407" s="22"/>
      <c r="D407" s="22"/>
      <c r="E407" s="22"/>
      <c r="F407" s="22"/>
      <c r="G407" s="22"/>
      <c r="H407" s="22"/>
    </row>
    <row r="408" spans="1:8" ht="15" customHeight="1" x14ac:dyDescent="0.25">
      <c r="A408" s="22" t="s">
        <v>584</v>
      </c>
      <c r="B408" s="22"/>
      <c r="C408" s="22"/>
      <c r="D408" s="22"/>
      <c r="E408" s="22"/>
      <c r="F408" s="22"/>
      <c r="G408" s="22"/>
      <c r="H408" s="22"/>
    </row>
    <row r="409" spans="1:8" ht="15" customHeight="1" x14ac:dyDescent="0.25">
      <c r="A409" s="22" t="s">
        <v>585</v>
      </c>
      <c r="B409" s="22"/>
      <c r="C409" s="22"/>
      <c r="D409" s="22"/>
      <c r="E409" s="22"/>
      <c r="F409" s="22"/>
      <c r="G409" s="22"/>
      <c r="H409" s="22"/>
    </row>
    <row r="410" spans="1:8" ht="15" customHeight="1" x14ac:dyDescent="0.25">
      <c r="A410" s="22" t="s">
        <v>586</v>
      </c>
      <c r="B410" s="22"/>
      <c r="C410" s="22"/>
      <c r="D410" s="22"/>
      <c r="E410" s="22"/>
      <c r="F410" s="22"/>
      <c r="G410" s="22"/>
      <c r="H410" s="22"/>
    </row>
    <row r="411" spans="1:8" ht="15" customHeight="1" x14ac:dyDescent="0.25">
      <c r="A411" s="22" t="s">
        <v>587</v>
      </c>
      <c r="B411" s="22"/>
      <c r="C411" s="22"/>
      <c r="D411" s="22"/>
      <c r="E411" s="22"/>
      <c r="F411" s="22"/>
      <c r="G411" s="22"/>
      <c r="H411" s="22"/>
    </row>
    <row r="412" spans="1:8" ht="5.0999999999999996" customHeight="1" x14ac:dyDescent="0.25">
      <c r="B412" s="22"/>
      <c r="C412" s="22"/>
      <c r="D412" s="22"/>
      <c r="E412" s="22"/>
      <c r="F412" s="22"/>
      <c r="G412" s="22"/>
      <c r="H412" s="22"/>
    </row>
    <row r="413" spans="1:8" ht="15" customHeight="1" x14ac:dyDescent="0.25">
      <c r="B413" s="28" t="s">
        <v>588</v>
      </c>
      <c r="C413" s="22"/>
      <c r="D413" s="22"/>
      <c r="E413" s="22"/>
      <c r="F413" s="22"/>
      <c r="G413" s="22"/>
      <c r="H413" s="22"/>
    </row>
    <row r="414" spans="1:8" ht="15" customHeight="1" x14ac:dyDescent="0.25">
      <c r="B414" s="22" t="s">
        <v>589</v>
      </c>
      <c r="C414" s="22"/>
      <c r="D414" s="22"/>
      <c r="E414" s="22"/>
      <c r="F414" s="22"/>
      <c r="G414" s="22"/>
      <c r="H414" s="22"/>
    </row>
    <row r="415" spans="1:8" ht="15" customHeight="1" x14ac:dyDescent="0.25">
      <c r="B415" s="22" t="s">
        <v>590</v>
      </c>
      <c r="C415" s="22"/>
      <c r="D415" s="22"/>
      <c r="E415" s="22"/>
      <c r="F415" s="22"/>
      <c r="G415" s="22"/>
      <c r="H415" s="22"/>
    </row>
    <row r="416" spans="1:8" ht="15" customHeight="1" x14ac:dyDescent="0.25">
      <c r="B416" s="22" t="s">
        <v>591</v>
      </c>
      <c r="C416" s="22"/>
      <c r="D416" s="22"/>
      <c r="E416" s="22"/>
      <c r="F416" s="22"/>
      <c r="G416" s="22"/>
      <c r="H416" s="22"/>
    </row>
    <row r="417" spans="1:8" ht="15" customHeight="1" x14ac:dyDescent="0.25">
      <c r="B417" s="22" t="s">
        <v>592</v>
      </c>
      <c r="C417" s="22"/>
      <c r="D417" s="22"/>
      <c r="E417" s="22"/>
      <c r="F417" s="22"/>
      <c r="G417" s="22"/>
      <c r="H417" s="22"/>
    </row>
    <row r="418" spans="1:8" ht="5.0999999999999996" customHeight="1" x14ac:dyDescent="0.25">
      <c r="A418" s="22"/>
      <c r="B418" s="22"/>
      <c r="C418" s="22"/>
      <c r="D418" s="22"/>
      <c r="E418" s="22"/>
      <c r="F418" s="22"/>
      <c r="G418" s="22"/>
      <c r="H418" s="22"/>
    </row>
    <row r="419" spans="1:8" ht="15" customHeight="1" x14ac:dyDescent="0.25">
      <c r="B419" s="28" t="s">
        <v>593</v>
      </c>
      <c r="C419" s="22"/>
      <c r="D419" s="22"/>
      <c r="E419" s="22"/>
      <c r="F419" s="22"/>
      <c r="G419" s="22"/>
      <c r="H419" s="22"/>
    </row>
    <row r="420" spans="1:8" ht="15" customHeight="1" x14ac:dyDescent="0.25">
      <c r="B420" s="22" t="s">
        <v>594</v>
      </c>
      <c r="C420" s="22"/>
      <c r="D420" s="22"/>
      <c r="E420" s="22"/>
      <c r="F420" s="22"/>
      <c r="G420" s="22"/>
      <c r="H420" s="22"/>
    </row>
    <row r="421" spans="1:8" ht="15" customHeight="1" x14ac:dyDescent="0.25">
      <c r="B421" s="22" t="s">
        <v>595</v>
      </c>
      <c r="C421" s="22"/>
      <c r="D421" s="22"/>
      <c r="E421" s="22"/>
      <c r="F421" s="22"/>
      <c r="G421" s="22"/>
      <c r="H421" s="22"/>
    </row>
    <row r="422" spans="1:8" ht="15" customHeight="1" x14ac:dyDescent="0.25">
      <c r="B422" s="22" t="s">
        <v>596</v>
      </c>
      <c r="C422" s="22"/>
      <c r="D422" s="22"/>
      <c r="E422" s="22"/>
      <c r="F422" s="22"/>
      <c r="G422" s="22"/>
      <c r="H422" s="22"/>
    </row>
    <row r="423" spans="1:8" ht="5.0999999999999996" customHeight="1" x14ac:dyDescent="0.25">
      <c r="A423" s="22"/>
      <c r="B423" s="22"/>
      <c r="C423" s="22"/>
      <c r="D423" s="22"/>
      <c r="E423" s="22"/>
      <c r="F423" s="22"/>
      <c r="G423" s="22"/>
      <c r="H423" s="22"/>
    </row>
    <row r="424" spans="1:8" ht="15" customHeight="1" x14ac:dyDescent="0.25">
      <c r="B424" s="28" t="s">
        <v>597</v>
      </c>
      <c r="C424" s="22"/>
      <c r="D424" s="22"/>
      <c r="E424" s="22"/>
      <c r="F424" s="22"/>
      <c r="G424" s="22"/>
      <c r="H424" s="22"/>
    </row>
    <row r="425" spans="1:8" ht="15" customHeight="1" x14ac:dyDescent="0.25">
      <c r="B425" s="22" t="s">
        <v>598</v>
      </c>
      <c r="C425" s="22"/>
      <c r="D425" s="22"/>
      <c r="E425" s="22"/>
      <c r="F425" s="22"/>
      <c r="G425" s="22"/>
      <c r="H425" s="22"/>
    </row>
    <row r="426" spans="1:8" ht="15" customHeight="1" x14ac:dyDescent="0.25">
      <c r="B426" s="22" t="s">
        <v>599</v>
      </c>
      <c r="C426" s="22"/>
      <c r="D426" s="22"/>
      <c r="E426" s="22"/>
      <c r="F426" s="22"/>
      <c r="G426" s="22"/>
      <c r="H426" s="22"/>
    </row>
    <row r="427" spans="1:8" ht="15" customHeight="1" x14ac:dyDescent="0.25">
      <c r="B427" s="22" t="s">
        <v>600</v>
      </c>
      <c r="C427" s="22"/>
      <c r="D427" s="22"/>
      <c r="E427" s="22"/>
      <c r="F427" s="22"/>
      <c r="G427" s="22"/>
      <c r="H427" s="22"/>
    </row>
    <row r="428" spans="1:8" ht="15" customHeight="1" x14ac:dyDescent="0.25">
      <c r="B428" s="22" t="s">
        <v>601</v>
      </c>
      <c r="C428" s="22"/>
      <c r="D428" s="22"/>
      <c r="E428" s="22"/>
      <c r="F428" s="22"/>
      <c r="G428" s="22"/>
      <c r="H428" s="22"/>
    </row>
    <row r="429" spans="1:8" ht="5.0999999999999996" customHeight="1" x14ac:dyDescent="0.25">
      <c r="A429" s="8"/>
    </row>
    <row r="430" spans="1:8" ht="15" customHeight="1" x14ac:dyDescent="0.25">
      <c r="A430" s="11" t="s">
        <v>602</v>
      </c>
    </row>
    <row r="431" spans="1:8" ht="15" customHeight="1" x14ac:dyDescent="0.25">
      <c r="A431" s="11" t="s">
        <v>603</v>
      </c>
    </row>
    <row r="432" spans="1:8" ht="15" customHeight="1" x14ac:dyDescent="0.25">
      <c r="A432" s="11" t="s">
        <v>604</v>
      </c>
    </row>
    <row r="433" spans="1:9" ht="5.0999999999999996" customHeight="1" x14ac:dyDescent="0.25">
      <c r="A433" s="19"/>
    </row>
    <row r="434" spans="1:9" ht="15" customHeight="1" x14ac:dyDescent="0.25">
      <c r="A434" s="11" t="s">
        <v>605</v>
      </c>
    </row>
    <row r="435" spans="1:9" ht="15" customHeight="1" x14ac:dyDescent="0.25">
      <c r="A435" s="11" t="s">
        <v>606</v>
      </c>
    </row>
    <row r="436" spans="1:9" ht="15" customHeight="1" x14ac:dyDescent="0.25">
      <c r="A436" s="11" t="s">
        <v>607</v>
      </c>
    </row>
    <row r="437" spans="1:9" ht="5.0999999999999996" customHeight="1" x14ac:dyDescent="0.25">
      <c r="A437" s="11"/>
    </row>
    <row r="438" spans="1:9" s="11" customFormat="1" ht="15" customHeight="1" x14ac:dyDescent="0.25">
      <c r="A438" s="11" t="s">
        <v>608</v>
      </c>
    </row>
    <row r="439" spans="1:9" s="11" customFormat="1" ht="15" customHeight="1" x14ac:dyDescent="0.25">
      <c r="A439" s="11" t="s">
        <v>609</v>
      </c>
    </row>
    <row r="440" spans="1:9" s="11" customFormat="1" ht="5.0999999999999996" customHeight="1" x14ac:dyDescent="0.25"/>
    <row r="441" spans="1:9" s="8" customFormat="1" ht="15" customHeight="1" x14ac:dyDescent="0.25">
      <c r="A441" s="8" t="s">
        <v>321</v>
      </c>
    </row>
    <row r="442" spans="1:9" s="8" customFormat="1" ht="15" customHeight="1" x14ac:dyDescent="0.25">
      <c r="A442" s="8" t="s">
        <v>322</v>
      </c>
    </row>
    <row r="443" spans="1:9" s="8" customFormat="1" ht="15" customHeight="1" x14ac:dyDescent="0.25">
      <c r="A443" s="118" t="s">
        <v>323</v>
      </c>
    </row>
    <row r="444" spans="1:9" s="8" customFormat="1" ht="15" customHeight="1" x14ac:dyDescent="0.25">
      <c r="A444" s="118" t="s">
        <v>324</v>
      </c>
    </row>
    <row r="445" spans="1:9" s="8" customFormat="1" ht="15" customHeight="1" x14ac:dyDescent="0.25">
      <c r="A445" s="118" t="s">
        <v>325</v>
      </c>
    </row>
    <row r="446" spans="1:9" ht="15" customHeight="1" x14ac:dyDescent="0.25">
      <c r="A446" s="239" t="s">
        <v>610</v>
      </c>
      <c r="B446" s="124"/>
      <c r="C446" s="124"/>
      <c r="D446" s="124"/>
      <c r="E446" s="124"/>
      <c r="F446" s="124"/>
      <c r="G446" s="124"/>
      <c r="H446" s="124"/>
      <c r="I446" s="124"/>
    </row>
    <row r="447" spans="1:9" ht="15" customHeight="1" x14ac:dyDescent="0.25">
      <c r="A447" s="239" t="s">
        <v>611</v>
      </c>
      <c r="B447" s="124"/>
      <c r="C447" s="124"/>
      <c r="D447" s="124"/>
      <c r="E447" s="124"/>
      <c r="F447" s="124"/>
      <c r="G447" s="124"/>
      <c r="H447" s="124"/>
      <c r="I447" s="124"/>
    </row>
    <row r="448" spans="1:9" ht="15" customHeight="1" x14ac:dyDescent="0.25">
      <c r="A448" s="19" t="s">
        <v>284</v>
      </c>
      <c r="B448" s="45"/>
      <c r="C448" s="45"/>
      <c r="D448" s="45"/>
      <c r="E448" s="45"/>
      <c r="F448" s="45"/>
      <c r="G448" s="45"/>
      <c r="H448" s="45"/>
      <c r="I448" s="45"/>
    </row>
    <row r="449" spans="1:8" ht="5.0999999999999996" customHeight="1" x14ac:dyDescent="0.25">
      <c r="A449" s="48"/>
      <c r="B449" s="47"/>
      <c r="C449" s="47"/>
      <c r="D449" s="47"/>
      <c r="E449" s="47"/>
      <c r="F449" s="47"/>
      <c r="G449" s="47"/>
      <c r="H449" s="47"/>
    </row>
    <row r="450" spans="1:8" ht="15" customHeight="1" x14ac:dyDescent="0.25">
      <c r="A450" s="46" t="s">
        <v>327</v>
      </c>
      <c r="B450" s="47"/>
      <c r="C450" s="47"/>
      <c r="D450" s="47"/>
      <c r="E450" s="47"/>
      <c r="F450" s="47"/>
      <c r="G450" s="47"/>
      <c r="H450" s="47"/>
    </row>
    <row r="451" spans="1:8" ht="15" customHeight="1" x14ac:dyDescent="0.25">
      <c r="A451" s="240" t="s">
        <v>612</v>
      </c>
    </row>
    <row r="452" spans="1:8" ht="15" customHeight="1" x14ac:dyDescent="0.25">
      <c r="A452" s="240" t="s">
        <v>613</v>
      </c>
    </row>
    <row r="453" spans="1:8" ht="15" customHeight="1" x14ac:dyDescent="0.25">
      <c r="A453" s="19" t="s">
        <v>614</v>
      </c>
    </row>
    <row r="454" spans="1:8" ht="15" customHeight="1" x14ac:dyDescent="0.25">
      <c r="A454" s="19" t="s">
        <v>615</v>
      </c>
    </row>
    <row r="455" spans="1:8" ht="15" customHeight="1" x14ac:dyDescent="0.25">
      <c r="A455" s="19" t="s">
        <v>616</v>
      </c>
    </row>
    <row r="456" spans="1:8" ht="15" customHeight="1" x14ac:dyDescent="0.25">
      <c r="A456" s="19" t="s">
        <v>617</v>
      </c>
    </row>
    <row r="457" spans="1:8" ht="5.0999999999999996" customHeight="1" x14ac:dyDescent="0.25"/>
    <row r="458" spans="1:8" ht="15" customHeight="1" x14ac:dyDescent="0.25">
      <c r="A458" s="8" t="s">
        <v>326</v>
      </c>
    </row>
    <row r="459" spans="1:8" ht="15" customHeight="1" x14ac:dyDescent="0.25">
      <c r="A459" s="8" t="s">
        <v>328</v>
      </c>
      <c r="C459" s="489" t="s">
        <v>426</v>
      </c>
      <c r="D459" s="490"/>
      <c r="E459" s="490"/>
      <c r="F459" s="490"/>
      <c r="G459" s="490"/>
      <c r="H459" s="490"/>
    </row>
    <row r="460" spans="1:8" ht="5.0999999999999996" customHeight="1" x14ac:dyDescent="0.25">
      <c r="A460" s="8"/>
    </row>
    <row r="461" spans="1:8" ht="15" customHeight="1" x14ac:dyDescent="0.25">
      <c r="A461" s="8" t="s">
        <v>329</v>
      </c>
    </row>
    <row r="462" spans="1:8" ht="15" customHeight="1" x14ac:dyDescent="0.25">
      <c r="A462" s="19" t="s">
        <v>618</v>
      </c>
    </row>
    <row r="463" spans="1:8" ht="15" customHeight="1" x14ac:dyDescent="0.25">
      <c r="A463" s="19" t="s">
        <v>619</v>
      </c>
    </row>
    <row r="464" spans="1:8" ht="15" customHeight="1" x14ac:dyDescent="0.25">
      <c r="A464" s="19" t="s">
        <v>331</v>
      </c>
    </row>
    <row r="465" spans="1:1" ht="5.0999999999999996" customHeight="1" x14ac:dyDescent="0.25">
      <c r="A465" s="8"/>
    </row>
    <row r="466" spans="1:1" ht="15" customHeight="1" x14ac:dyDescent="0.25">
      <c r="A466" s="8" t="s">
        <v>332</v>
      </c>
    </row>
    <row r="467" spans="1:1" ht="15" customHeight="1" x14ac:dyDescent="0.25">
      <c r="A467" s="9" t="s">
        <v>333</v>
      </c>
    </row>
    <row r="468" spans="1:1" ht="15" customHeight="1" x14ac:dyDescent="0.25">
      <c r="A468" s="19" t="s">
        <v>620</v>
      </c>
    </row>
    <row r="469" spans="1:1" ht="15" customHeight="1" x14ac:dyDescent="0.25">
      <c r="A469" s="19" t="s">
        <v>621</v>
      </c>
    </row>
    <row r="470" spans="1:1" ht="15" customHeight="1" x14ac:dyDescent="0.25">
      <c r="A470" s="9" t="s">
        <v>334</v>
      </c>
    </row>
    <row r="471" spans="1:1" ht="15" customHeight="1" x14ac:dyDescent="0.25">
      <c r="A471" s="19" t="s">
        <v>622</v>
      </c>
    </row>
    <row r="472" spans="1:1" ht="15" customHeight="1" x14ac:dyDescent="0.25">
      <c r="A472" s="19" t="s">
        <v>623</v>
      </c>
    </row>
    <row r="473" spans="1:1" ht="15" customHeight="1" x14ac:dyDescent="0.25">
      <c r="A473" s="9" t="s">
        <v>335</v>
      </c>
    </row>
    <row r="474" spans="1:1" ht="15" customHeight="1" x14ac:dyDescent="0.25">
      <c r="A474" s="19" t="s">
        <v>624</v>
      </c>
    </row>
    <row r="475" spans="1:1" ht="15" customHeight="1" x14ac:dyDescent="0.25">
      <c r="A475" s="19" t="s">
        <v>625</v>
      </c>
    </row>
    <row r="476" spans="1:1" ht="15" customHeight="1" x14ac:dyDescent="0.25">
      <c r="A476" s="9" t="s">
        <v>336</v>
      </c>
    </row>
    <row r="477" spans="1:1" s="11" customFormat="1" ht="15" customHeight="1" x14ac:dyDescent="0.25">
      <c r="A477" s="19" t="s">
        <v>626</v>
      </c>
    </row>
    <row r="478" spans="1:1" ht="15" customHeight="1" x14ac:dyDescent="0.25">
      <c r="A478" s="19" t="s">
        <v>627</v>
      </c>
    </row>
    <row r="479" spans="1:1" ht="15" customHeight="1" x14ac:dyDescent="0.25">
      <c r="A479" s="4" t="s">
        <v>337</v>
      </c>
    </row>
    <row r="480" spans="1:1" ht="15" customHeight="1" x14ac:dyDescent="0.25">
      <c r="A480" s="19" t="s">
        <v>628</v>
      </c>
    </row>
    <row r="481" spans="1:1" ht="15" customHeight="1" x14ac:dyDescent="0.25">
      <c r="A481" s="4" t="s">
        <v>338</v>
      </c>
    </row>
    <row r="482" spans="1:1" ht="15" customHeight="1" x14ac:dyDescent="0.25">
      <c r="A482" s="19" t="s">
        <v>629</v>
      </c>
    </row>
    <row r="483" spans="1:1" ht="15" customHeight="1" x14ac:dyDescent="0.25">
      <c r="A483" s="19" t="s">
        <v>630</v>
      </c>
    </row>
    <row r="484" spans="1:1" ht="15" customHeight="1" x14ac:dyDescent="0.25">
      <c r="A484" s="19" t="s">
        <v>631</v>
      </c>
    </row>
    <row r="485" spans="1:1" ht="15" customHeight="1" x14ac:dyDescent="0.25">
      <c r="A485" s="4" t="s">
        <v>339</v>
      </c>
    </row>
    <row r="486" spans="1:1" ht="15" customHeight="1" x14ac:dyDescent="0.25">
      <c r="A486" s="19" t="s">
        <v>632</v>
      </c>
    </row>
    <row r="487" spans="1:1" ht="5.0999999999999996" customHeight="1" x14ac:dyDescent="0.25">
      <c r="A487" s="8"/>
    </row>
    <row r="488" spans="1:1" ht="15" customHeight="1" x14ac:dyDescent="0.25">
      <c r="A488" s="8" t="s">
        <v>340</v>
      </c>
    </row>
    <row r="489" spans="1:1" ht="15" customHeight="1" x14ac:dyDescent="0.25">
      <c r="A489" s="19" t="s">
        <v>633</v>
      </c>
    </row>
    <row r="490" spans="1:1" ht="15" customHeight="1" x14ac:dyDescent="0.25">
      <c r="A490" s="19" t="s">
        <v>634</v>
      </c>
    </row>
    <row r="491" spans="1:1" ht="15" customHeight="1" x14ac:dyDescent="0.25">
      <c r="A491" s="19" t="s">
        <v>635</v>
      </c>
    </row>
    <row r="492" spans="1:1" ht="15" customHeight="1" x14ac:dyDescent="0.25">
      <c r="A492" s="19" t="s">
        <v>636</v>
      </c>
    </row>
    <row r="493" spans="1:1" ht="5.0999999999999996" customHeight="1" x14ac:dyDescent="0.25">
      <c r="A493" s="8"/>
    </row>
    <row r="494" spans="1:1" ht="15" customHeight="1" x14ac:dyDescent="0.25">
      <c r="A494" s="8" t="s">
        <v>7</v>
      </c>
    </row>
    <row r="495" spans="1:1" ht="15" customHeight="1" x14ac:dyDescent="0.25">
      <c r="A495" s="8"/>
    </row>
    <row r="496" spans="1:1" ht="15" customHeight="1" x14ac:dyDescent="0.25">
      <c r="A496" s="8"/>
    </row>
    <row r="497" spans="1:14" ht="15" customHeight="1" x14ac:dyDescent="0.25">
      <c r="A497" s="8"/>
    </row>
    <row r="498" spans="1:14" ht="15" customHeight="1" x14ac:dyDescent="0.25">
      <c r="A498" s="8"/>
    </row>
    <row r="499" spans="1:14" ht="15" customHeight="1" x14ac:dyDescent="0.25">
      <c r="A499" s="8"/>
    </row>
    <row r="500" spans="1:14" ht="15" customHeight="1" x14ac:dyDescent="0.25">
      <c r="A500" s="8"/>
    </row>
    <row r="501" spans="1:14" ht="15" customHeight="1" x14ac:dyDescent="0.25">
      <c r="A501" s="8" t="s">
        <v>8</v>
      </c>
    </row>
    <row r="502" spans="1:14" ht="5.0999999999999996" customHeight="1" x14ac:dyDescent="0.25">
      <c r="A502" s="8"/>
    </row>
    <row r="503" spans="1:14" ht="15" customHeight="1" x14ac:dyDescent="0.25">
      <c r="A503" s="8" t="s">
        <v>9</v>
      </c>
    </row>
    <row r="504" spans="1:14" ht="15" customHeight="1" x14ac:dyDescent="0.25">
      <c r="A504" s="8" t="s">
        <v>15</v>
      </c>
    </row>
    <row r="505" spans="1:14" ht="15" customHeight="1" x14ac:dyDescent="0.25">
      <c r="A505" s="8" t="s">
        <v>16</v>
      </c>
    </row>
    <row r="506" spans="1:14" ht="15" customHeight="1" x14ac:dyDescent="0.25">
      <c r="A506" s="8" t="s">
        <v>20</v>
      </c>
    </row>
    <row r="507" spans="1:14" ht="15" customHeight="1" x14ac:dyDescent="0.25">
      <c r="A507" s="8" t="s">
        <v>10</v>
      </c>
    </row>
    <row r="508" spans="1:14" ht="15" customHeight="1" x14ac:dyDescent="0.25">
      <c r="A508" s="12" t="s">
        <v>637</v>
      </c>
      <c r="K508" s="236"/>
      <c r="L508"/>
      <c r="M508"/>
      <c r="N508"/>
    </row>
    <row r="509" spans="1:14" ht="5.0999999999999996" customHeight="1" x14ac:dyDescent="0.25">
      <c r="A509" s="8"/>
      <c r="K509" s="236"/>
      <c r="L509"/>
      <c r="M509"/>
      <c r="N509"/>
    </row>
    <row r="510" spans="1:14" ht="15" customHeight="1" x14ac:dyDescent="0.25">
      <c r="A510" s="46" t="s">
        <v>341</v>
      </c>
      <c r="B510" s="47"/>
      <c r="C510" s="47"/>
      <c r="D510" s="47"/>
      <c r="E510" s="47"/>
      <c r="F510" s="47"/>
      <c r="G510" s="47"/>
      <c r="H510" s="47"/>
      <c r="K510" s="236"/>
      <c r="L510"/>
      <c r="M510"/>
      <c r="N510"/>
    </row>
    <row r="511" spans="1:14" ht="5.0999999999999996" customHeight="1" x14ac:dyDescent="0.25">
      <c r="A511" s="46"/>
      <c r="B511" s="47"/>
      <c r="C511" s="47"/>
      <c r="D511" s="47"/>
      <c r="E511" s="47"/>
      <c r="F511" s="47"/>
      <c r="G511" s="47"/>
      <c r="H511" s="47"/>
    </row>
    <row r="512" spans="1:14" s="45" customFormat="1" ht="15" customHeight="1" x14ac:dyDescent="0.25">
      <c r="A512" s="162" t="s">
        <v>413</v>
      </c>
      <c r="B512" s="261" t="s">
        <v>1</v>
      </c>
      <c r="C512" s="261" t="s">
        <v>2</v>
      </c>
      <c r="D512" s="262" t="s">
        <v>685</v>
      </c>
      <c r="E512" s="262" t="s">
        <v>686</v>
      </c>
    </row>
    <row r="513" spans="1:24" s="45" customFormat="1" ht="15" customHeight="1" x14ac:dyDescent="0.25">
      <c r="A513" s="162" t="s">
        <v>413</v>
      </c>
      <c r="B513" s="163">
        <v>26</v>
      </c>
      <c r="C513" s="263">
        <v>2.7E-2</v>
      </c>
      <c r="D513" s="264">
        <v>0.93779999999999997</v>
      </c>
      <c r="E513" s="264">
        <v>0.95020000000000004</v>
      </c>
      <c r="J513"/>
      <c r="K513"/>
      <c r="L513"/>
      <c r="M513" s="260"/>
      <c r="N513"/>
      <c r="O513"/>
      <c r="P513"/>
      <c r="Q513"/>
      <c r="R513"/>
      <c r="S513" s="260"/>
      <c r="T513" s="260"/>
      <c r="U513"/>
      <c r="V513"/>
      <c r="W513"/>
      <c r="X513"/>
    </row>
    <row r="514" spans="1:24" s="45" customFormat="1" ht="15" customHeight="1" x14ac:dyDescent="0.25">
      <c r="A514" s="162" t="s">
        <v>413</v>
      </c>
      <c r="B514" s="163">
        <v>27</v>
      </c>
      <c r="C514" s="263">
        <v>2.5999999999999999E-2</v>
      </c>
      <c r="D514" s="264">
        <v>0.94789999999999996</v>
      </c>
      <c r="E514" s="264">
        <v>0.95020000000000004</v>
      </c>
      <c r="J514"/>
      <c r="K514"/>
      <c r="L514"/>
      <c r="M514"/>
      <c r="N514"/>
      <c r="O514"/>
      <c r="P514"/>
      <c r="Q514"/>
      <c r="R514"/>
      <c r="S514"/>
      <c r="T514"/>
      <c r="U514" s="260"/>
      <c r="V514"/>
      <c r="W514"/>
      <c r="X514"/>
    </row>
    <row r="515" spans="1:24" s="45" customFormat="1" ht="15" customHeight="1" x14ac:dyDescent="0.25">
      <c r="A515" s="162" t="s">
        <v>413</v>
      </c>
      <c r="B515" s="163">
        <v>28</v>
      </c>
      <c r="C515" s="263">
        <v>2.5000000000000001E-2</v>
      </c>
      <c r="D515" s="264">
        <v>0.95089999999999997</v>
      </c>
      <c r="E515" s="264">
        <v>0.95020000000000004</v>
      </c>
      <c r="J515"/>
      <c r="K515"/>
      <c r="L515"/>
      <c r="M515" s="260"/>
      <c r="N515" s="260"/>
      <c r="O515"/>
      <c r="P515"/>
      <c r="Q515"/>
      <c r="R515"/>
      <c r="S515" s="260"/>
      <c r="T515" s="260"/>
      <c r="U515"/>
      <c r="V515"/>
      <c r="W515"/>
      <c r="X515"/>
    </row>
    <row r="516" spans="1:24" s="45" customFormat="1" ht="15" customHeight="1" x14ac:dyDescent="0.25">
      <c r="A516" s="162" t="s">
        <v>413</v>
      </c>
      <c r="B516" s="163">
        <v>29</v>
      </c>
      <c r="C516" s="263">
        <v>2.3E-2</v>
      </c>
      <c r="D516" s="264">
        <v>0.95120000000000005</v>
      </c>
      <c r="E516" s="264">
        <v>0.95020000000000004</v>
      </c>
      <c r="J516"/>
      <c r="K516"/>
      <c r="L516"/>
      <c r="M516" s="260"/>
      <c r="N516" s="260"/>
      <c r="O516"/>
      <c r="P516"/>
      <c r="Q516"/>
      <c r="R516"/>
      <c r="S516" s="260"/>
      <c r="T516" s="260"/>
      <c r="U516"/>
      <c r="V516"/>
      <c r="W516"/>
      <c r="X516"/>
    </row>
    <row r="517" spans="1:24" s="45" customFormat="1" ht="15" customHeight="1" x14ac:dyDescent="0.25">
      <c r="A517" s="162" t="s">
        <v>413</v>
      </c>
      <c r="B517" s="163">
        <v>30</v>
      </c>
      <c r="C517" s="263">
        <v>2.3E-2</v>
      </c>
      <c r="D517" s="264">
        <v>0.95120000000000005</v>
      </c>
      <c r="E517" s="264">
        <v>0.95609999999999995</v>
      </c>
      <c r="J517"/>
      <c r="K517"/>
      <c r="L517" s="221"/>
      <c r="M517" s="221"/>
      <c r="N517" s="231"/>
      <c r="O517" s="221"/>
      <c r="P517" s="221"/>
      <c r="S517"/>
      <c r="T517"/>
      <c r="U517"/>
      <c r="V517"/>
      <c r="W517"/>
      <c r="X517"/>
    </row>
    <row r="518" spans="1:24" s="45" customFormat="1" ht="5.0999999999999996" customHeight="1" x14ac:dyDescent="0.25">
      <c r="A518" s="162"/>
      <c r="B518" s="1"/>
      <c r="C518" s="1"/>
      <c r="D518" s="1"/>
      <c r="E518" s="1"/>
      <c r="J518"/>
      <c r="K518"/>
      <c r="L518" s="221"/>
      <c r="M518" s="221"/>
      <c r="N518" s="221"/>
      <c r="O518" s="221"/>
      <c r="P518" s="221"/>
      <c r="S518"/>
      <c r="T518"/>
      <c r="U518"/>
      <c r="V518"/>
      <c r="W518"/>
      <c r="X518"/>
    </row>
    <row r="519" spans="1:24" ht="15" customHeight="1" x14ac:dyDescent="0.25">
      <c r="A519" s="8" t="s">
        <v>342</v>
      </c>
      <c r="L519" s="221"/>
      <c r="M519" s="221"/>
      <c r="N519" s="221"/>
      <c r="O519" s="221"/>
      <c r="P519" s="221"/>
    </row>
    <row r="520" spans="1:24" ht="5.0999999999999996" customHeight="1" x14ac:dyDescent="0.25">
      <c r="A520" s="8"/>
    </row>
    <row r="521" spans="1:24" ht="15" customHeight="1" x14ac:dyDescent="0.25">
      <c r="A521" s="8" t="s">
        <v>343</v>
      </c>
    </row>
    <row r="522" spans="1:24" ht="15" customHeight="1" x14ac:dyDescent="0.25">
      <c r="A522" s="19" t="s">
        <v>639</v>
      </c>
    </row>
    <row r="523" spans="1:24" ht="20.100000000000001" customHeight="1" x14ac:dyDescent="0.25">
      <c r="A523" s="8"/>
    </row>
    <row r="524" spans="1:24" ht="15" customHeight="1" x14ac:dyDescent="0.25">
      <c r="A524" s="8" t="s">
        <v>8</v>
      </c>
    </row>
    <row r="525" spans="1:24" ht="5.0999999999999996" customHeight="1" x14ac:dyDescent="0.25">
      <c r="A525" s="8"/>
    </row>
    <row r="526" spans="1:24" ht="15" customHeight="1" x14ac:dyDescent="0.25">
      <c r="A526" s="19" t="s">
        <v>638</v>
      </c>
    </row>
    <row r="527" spans="1:24" ht="15" customHeight="1" x14ac:dyDescent="0.25">
      <c r="A527" s="19" t="s">
        <v>52</v>
      </c>
    </row>
    <row r="528" spans="1:24" ht="15" customHeight="1" x14ac:dyDescent="0.25">
      <c r="A528" s="19" t="s">
        <v>493</v>
      </c>
    </row>
    <row r="529" spans="1:24" ht="5.0999999999999996" customHeight="1" x14ac:dyDescent="0.25">
      <c r="A529" s="8"/>
    </row>
    <row r="530" spans="1:24" ht="15" customHeight="1" x14ac:dyDescent="0.25">
      <c r="A530" s="8" t="s">
        <v>344</v>
      </c>
    </row>
    <row r="531" spans="1:24" ht="15" customHeight="1" x14ac:dyDescent="0.25">
      <c r="A531" s="8" t="s">
        <v>345</v>
      </c>
    </row>
    <row r="532" spans="1:24" ht="5.0999999999999996" customHeight="1" x14ac:dyDescent="0.25">
      <c r="A532" s="8"/>
    </row>
    <row r="533" spans="1:24" ht="15" customHeight="1" x14ac:dyDescent="0.25">
      <c r="A533" s="8" t="s">
        <v>354</v>
      </c>
    </row>
    <row r="534" spans="1:24" ht="15" customHeight="1" x14ac:dyDescent="0.25">
      <c r="A534" s="78" t="s">
        <v>349</v>
      </c>
      <c r="B534" s="78" t="s">
        <v>352</v>
      </c>
      <c r="C534" s="78" t="s">
        <v>353</v>
      </c>
      <c r="D534" s="8"/>
    </row>
    <row r="535" spans="1:24" ht="15" customHeight="1" x14ac:dyDescent="0.25">
      <c r="A535" s="78" t="str">
        <f>+A397</f>
        <v>SPECX</v>
      </c>
      <c r="B535" s="175">
        <v>49377.6927</v>
      </c>
      <c r="C535" s="175">
        <v>17251.018700000001</v>
      </c>
      <c r="D535" s="8" t="s">
        <v>357</v>
      </c>
      <c r="F535" s="221"/>
      <c r="G535" s="221"/>
    </row>
    <row r="536" spans="1:24" ht="15" customHeight="1" x14ac:dyDescent="0.25">
      <c r="A536" s="78" t="str">
        <f>+A398</f>
        <v>SPECY</v>
      </c>
      <c r="B536" s="175">
        <v>14856.676600000001</v>
      </c>
      <c r="C536" s="175">
        <v>57394.142999999996</v>
      </c>
      <c r="D536" s="8" t="s">
        <v>357</v>
      </c>
    </row>
    <row r="537" spans="1:24" ht="5.0999999999999996" customHeight="1" x14ac:dyDescent="0.25">
      <c r="A537" s="8"/>
    </row>
    <row r="538" spans="1:24" ht="15" customHeight="1" x14ac:dyDescent="0.25">
      <c r="A538" s="8" t="s">
        <v>346</v>
      </c>
    </row>
    <row r="539" spans="1:24" ht="15" customHeight="1" x14ac:dyDescent="0.25">
      <c r="A539" s="19" t="s">
        <v>640</v>
      </c>
    </row>
    <row r="540" spans="1:24" ht="15" customHeight="1" x14ac:dyDescent="0.25">
      <c r="A540" s="19" t="s">
        <v>641</v>
      </c>
    </row>
    <row r="541" spans="1:24" ht="15" customHeight="1" x14ac:dyDescent="0.25">
      <c r="A541" s="19" t="s">
        <v>642</v>
      </c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</row>
    <row r="542" spans="1:24" ht="15" customHeight="1" x14ac:dyDescent="0.25">
      <c r="A542" s="19" t="s">
        <v>347</v>
      </c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</row>
    <row r="543" spans="1:24" ht="15" customHeight="1" x14ac:dyDescent="0.25">
      <c r="A543" s="19" t="s">
        <v>643</v>
      </c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</row>
    <row r="544" spans="1:24" customFormat="1" ht="15" customHeight="1" x14ac:dyDescent="0.25">
      <c r="A544" s="19" t="s">
        <v>644</v>
      </c>
    </row>
    <row r="545" spans="1:24" customFormat="1" ht="5.0999999999999996" customHeight="1" x14ac:dyDescent="0.25">
      <c r="A545" s="8"/>
    </row>
    <row r="546" spans="1:24" customFormat="1" ht="15" customHeight="1" x14ac:dyDescent="0.25">
      <c r="A546" s="8" t="s">
        <v>355</v>
      </c>
      <c r="B546" s="1"/>
      <c r="C546" s="1"/>
    </row>
    <row r="547" spans="1:24" customFormat="1" ht="15" customHeight="1" x14ac:dyDescent="0.25">
      <c r="A547" s="78" t="s">
        <v>349</v>
      </c>
      <c r="B547" s="78" t="s">
        <v>356</v>
      </c>
      <c r="D547" s="157"/>
      <c r="F547" s="157"/>
    </row>
    <row r="548" spans="1:24" customFormat="1" ht="15" customHeight="1" x14ac:dyDescent="0.25">
      <c r="A548" s="78" t="str">
        <f>+A397</f>
        <v>SPECX</v>
      </c>
      <c r="B548" s="156">
        <f>ROUND(SQRT(B535^2+C535^2),0)</f>
        <v>52304</v>
      </c>
      <c r="C548" s="8" t="s">
        <v>357</v>
      </c>
      <c r="D548" s="1"/>
      <c r="E548" s="173"/>
      <c r="F548" s="17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customFormat="1" ht="15" customHeight="1" x14ac:dyDescent="0.25">
      <c r="A549" s="78" t="str">
        <f>+A398</f>
        <v>SPECY</v>
      </c>
      <c r="B549" s="152">
        <f>ROUND(SQRT(B536^2+C536^2),0)</f>
        <v>59286</v>
      </c>
      <c r="C549" s="8" t="s">
        <v>357</v>
      </c>
      <c r="D549" s="1"/>
      <c r="E549" s="173"/>
      <c r="F549" s="17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customFormat="1" ht="5.0999999999999996" customHeight="1" x14ac:dyDescent="0.25"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" customHeight="1" x14ac:dyDescent="0.25">
      <c r="A551" s="75" t="s">
        <v>348</v>
      </c>
      <c r="B551" s="54"/>
      <c r="C551" s="54"/>
      <c r="D551" s="76"/>
      <c r="E551" s="76"/>
      <c r="F551" s="76"/>
      <c r="G551" s="76"/>
      <c r="H551" s="76"/>
    </row>
    <row r="552" spans="1:24" ht="15" customHeight="1" x14ac:dyDescent="0.25">
      <c r="A552" s="167" t="s">
        <v>645</v>
      </c>
      <c r="B552" s="54"/>
      <c r="C552" s="54"/>
      <c r="D552" s="76"/>
      <c r="E552" s="76"/>
      <c r="F552" s="76"/>
      <c r="G552" s="76"/>
      <c r="H552" s="76"/>
    </row>
    <row r="553" spans="1:24" ht="15" customHeight="1" x14ac:dyDescent="0.25">
      <c r="A553" s="167" t="s">
        <v>646</v>
      </c>
      <c r="B553" s="54"/>
      <c r="C553" s="54"/>
      <c r="D553" s="76"/>
      <c r="E553" s="76"/>
      <c r="F553" s="76"/>
      <c r="G553" s="76"/>
      <c r="H553" s="76"/>
    </row>
    <row r="554" spans="1:24" ht="15" customHeight="1" x14ac:dyDescent="0.25">
      <c r="A554" s="167" t="s">
        <v>647</v>
      </c>
      <c r="B554" s="54"/>
      <c r="C554" s="54"/>
      <c r="D554" s="76"/>
      <c r="E554" s="76"/>
      <c r="F554" s="76"/>
      <c r="G554" s="76"/>
      <c r="H554" s="76"/>
    </row>
    <row r="555" spans="1:24" ht="15" customHeight="1" x14ac:dyDescent="0.25">
      <c r="A555" s="167" t="s">
        <v>363</v>
      </c>
      <c r="B555" s="54"/>
      <c r="C555" s="54"/>
      <c r="D555" s="76"/>
      <c r="E555" s="76"/>
      <c r="F555" s="76"/>
      <c r="G555" s="76"/>
      <c r="H555" s="76"/>
    </row>
    <row r="556" spans="1:24" ht="15" customHeight="1" x14ac:dyDescent="0.25">
      <c r="A556" s="75"/>
      <c r="B556" s="54"/>
      <c r="C556" s="54" t="s">
        <v>495</v>
      </c>
      <c r="D556" s="54" t="s">
        <v>496</v>
      </c>
      <c r="E556" s="76"/>
      <c r="F556" s="76"/>
      <c r="G556" s="76"/>
      <c r="H556" s="76"/>
    </row>
    <row r="557" spans="1:24" ht="15" customHeight="1" x14ac:dyDescent="0.25">
      <c r="A557" s="75" t="s">
        <v>310</v>
      </c>
      <c r="B557" s="54"/>
      <c r="C557" s="146" t="str">
        <f>+$C$132</f>
        <v>NP</v>
      </c>
      <c r="D557" s="146" t="str">
        <f>+$C$132</f>
        <v>NP</v>
      </c>
      <c r="E557" s="76"/>
      <c r="F557" s="76"/>
      <c r="G557" s="76"/>
      <c r="H557" s="76"/>
    </row>
    <row r="558" spans="1:24" ht="15" customHeight="1" x14ac:dyDescent="0.25">
      <c r="A558" s="75" t="s">
        <v>358</v>
      </c>
      <c r="B558" s="54"/>
      <c r="C558" s="146" t="str">
        <f>+$C$137</f>
        <v>NP</v>
      </c>
      <c r="D558" s="146" t="str">
        <f>+$C$137</f>
        <v>NP</v>
      </c>
      <c r="E558" s="76"/>
      <c r="F558" s="76"/>
      <c r="G558" s="76"/>
      <c r="H558" s="76"/>
    </row>
    <row r="559" spans="1:24" ht="15" customHeight="1" x14ac:dyDescent="0.25">
      <c r="A559" s="167" t="s">
        <v>494</v>
      </c>
      <c r="B559" s="54"/>
      <c r="C559" s="146" t="str">
        <f>+IF(G189&lt;1,"SP","NP")</f>
        <v>NP</v>
      </c>
      <c r="D559" s="146" t="str">
        <f>+IF(G194&lt;1,"SP","NP")</f>
        <v>NP</v>
      </c>
      <c r="E559" s="76"/>
      <c r="F559" s="220"/>
      <c r="G559" s="76"/>
      <c r="H559" s="76"/>
    </row>
    <row r="560" spans="1:24" ht="5.0999999999999996" customHeight="1" x14ac:dyDescent="0.25">
      <c r="A560" s="75"/>
      <c r="B560" s="54"/>
      <c r="C560" s="54"/>
      <c r="D560" s="76"/>
      <c r="E560" s="76"/>
      <c r="F560" s="76"/>
      <c r="G560" s="76"/>
      <c r="H560" s="76"/>
    </row>
    <row r="561" spans="1:10" ht="15" customHeight="1" x14ac:dyDescent="0.25">
      <c r="A561" s="75" t="s">
        <v>359</v>
      </c>
      <c r="B561" s="54"/>
      <c r="C561" s="54"/>
      <c r="D561" s="76"/>
      <c r="E561" s="148">
        <f>+IF(AND(C557="NP",C559="NP",C558="NP"),0.8,0.9)</f>
        <v>0.8</v>
      </c>
      <c r="F561" s="54" t="s">
        <v>495</v>
      </c>
      <c r="G561" s="76"/>
      <c r="H561" s="76"/>
    </row>
    <row r="562" spans="1:10" ht="15" customHeight="1" x14ac:dyDescent="0.25">
      <c r="A562" s="75" t="s">
        <v>359</v>
      </c>
      <c r="B562" s="54"/>
      <c r="C562" s="54"/>
      <c r="D562" s="76"/>
      <c r="E562" s="148">
        <f>+IF(AND(D557="NP",D559="NP",D558="NP"),0.8,0.9)</f>
        <v>0.8</v>
      </c>
      <c r="F562" s="54" t="s">
        <v>496</v>
      </c>
      <c r="G562" s="220"/>
      <c r="H562" s="76"/>
      <c r="J562" s="19" t="s">
        <v>509</v>
      </c>
    </row>
    <row r="563" spans="1:10" ht="5.0999999999999996" customHeight="1" x14ac:dyDescent="0.25">
      <c r="A563" s="75"/>
      <c r="B563" s="54"/>
      <c r="C563" s="54"/>
      <c r="D563" s="76"/>
      <c r="E563" s="76"/>
      <c r="F563" s="76"/>
      <c r="G563" s="76"/>
      <c r="H563" s="76"/>
      <c r="J563" s="1" t="s">
        <v>509</v>
      </c>
    </row>
    <row r="564" spans="1:10" ht="15" customHeight="1" x14ac:dyDescent="0.25">
      <c r="B564" s="78" t="s">
        <v>349</v>
      </c>
      <c r="C564" s="78" t="s">
        <v>356</v>
      </c>
      <c r="D564" s="78" t="s">
        <v>360</v>
      </c>
      <c r="E564" s="78" t="s">
        <v>361</v>
      </c>
      <c r="F564" s="76"/>
      <c r="G564" s="149" t="s">
        <v>362</v>
      </c>
      <c r="H564" s="149"/>
      <c r="I564" s="149"/>
    </row>
    <row r="565" spans="1:10" ht="15" customHeight="1" x14ac:dyDescent="0.25">
      <c r="A565" s="173"/>
      <c r="B565" s="78" t="str">
        <f>+A548</f>
        <v>SPECX</v>
      </c>
      <c r="C565" s="152">
        <f>+B548</f>
        <v>52304</v>
      </c>
      <c r="D565" s="150">
        <f>+IF($A$314="Vs_x",$B$314,$B$315)</f>
        <v>83111.928899999999</v>
      </c>
      <c r="E565" s="151">
        <f>+$E$561*$D565</f>
        <v>66489.543120000002</v>
      </c>
      <c r="F565" s="8" t="s">
        <v>357</v>
      </c>
      <c r="G565" s="177">
        <f>IF((E565/C565)&lt;1,1,E565/C565)</f>
        <v>1.2712133511777302</v>
      </c>
      <c r="H565" s="176"/>
      <c r="I565" s="149"/>
    </row>
    <row r="566" spans="1:10" ht="15" customHeight="1" x14ac:dyDescent="0.25">
      <c r="A566" s="173"/>
      <c r="B566" s="78" t="str">
        <f>+A549</f>
        <v>SPECY</v>
      </c>
      <c r="C566" s="152">
        <f>+B549</f>
        <v>59286</v>
      </c>
      <c r="D566" s="354">
        <f>+IF($A$315="Vs_y",$B$315,$B$314)</f>
        <v>93128.430500000002</v>
      </c>
      <c r="E566" s="354">
        <f>+$E$562*$D566</f>
        <v>74502.744400000011</v>
      </c>
      <c r="F566" s="8" t="s">
        <v>357</v>
      </c>
      <c r="G566" s="177">
        <f>IF((E566/C566)&lt;1,1,E566/C566)</f>
        <v>1.2566667408831766</v>
      </c>
      <c r="H566" s="176"/>
      <c r="I566" s="149"/>
    </row>
    <row r="567" spans="1:10" ht="5.0999999999999996" customHeight="1" x14ac:dyDescent="0.25">
      <c r="A567" s="75"/>
      <c r="B567" s="54"/>
      <c r="C567" s="54"/>
      <c r="D567" s="76"/>
      <c r="E567" s="76"/>
      <c r="F567" s="76"/>
      <c r="G567" s="76"/>
      <c r="H567" s="76"/>
    </row>
    <row r="568" spans="1:10" ht="15" customHeight="1" x14ac:dyDescent="0.25">
      <c r="A568" s="75" t="s">
        <v>364</v>
      </c>
      <c r="B568" s="54"/>
      <c r="C568" s="54"/>
      <c r="D568" s="76"/>
      <c r="E568" s="76"/>
      <c r="F568" s="76"/>
      <c r="G568" s="76"/>
      <c r="H568" s="76"/>
    </row>
    <row r="569" spans="1:10" ht="15" customHeight="1" x14ac:dyDescent="0.25">
      <c r="A569" s="167" t="s">
        <v>648</v>
      </c>
      <c r="B569" s="54"/>
      <c r="C569" s="54"/>
      <c r="D569" s="76"/>
      <c r="E569" s="76"/>
      <c r="F569" s="76"/>
      <c r="G569" s="76"/>
      <c r="H569" s="76"/>
    </row>
    <row r="570" spans="1:10" ht="15" customHeight="1" x14ac:dyDescent="0.25">
      <c r="A570" s="167" t="s">
        <v>649</v>
      </c>
      <c r="B570" s="54"/>
      <c r="C570" s="54"/>
      <c r="D570" s="76"/>
      <c r="E570" s="76"/>
      <c r="F570" s="76"/>
      <c r="G570" s="76"/>
      <c r="H570" s="76"/>
    </row>
    <row r="571" spans="1:10" ht="15" customHeight="1" x14ac:dyDescent="0.25">
      <c r="A571" s="167" t="s">
        <v>650</v>
      </c>
      <c r="B571" s="54"/>
      <c r="C571" s="54"/>
      <c r="D571" s="76"/>
      <c r="E571" s="76"/>
      <c r="F571" s="76"/>
      <c r="G571" s="76"/>
      <c r="H571" s="76"/>
    </row>
    <row r="572" spans="1:10" ht="15" customHeight="1" x14ac:dyDescent="0.25">
      <c r="A572" s="167" t="s">
        <v>365</v>
      </c>
      <c r="B572" s="54"/>
      <c r="C572" s="54"/>
      <c r="D572" s="76"/>
      <c r="E572" s="76"/>
      <c r="F572" s="76"/>
      <c r="G572" s="76"/>
      <c r="H572" s="76"/>
    </row>
    <row r="573" spans="1:10" ht="5.0999999999999996" customHeight="1" x14ac:dyDescent="0.25">
      <c r="A573" s="75"/>
      <c r="B573" s="54"/>
      <c r="C573" s="54"/>
      <c r="D573" s="76"/>
      <c r="E573" s="76"/>
      <c r="F573" s="76"/>
      <c r="G573" s="76"/>
      <c r="H573" s="76"/>
    </row>
    <row r="574" spans="1:10" ht="15" customHeight="1" x14ac:dyDescent="0.25">
      <c r="A574" s="89" t="s">
        <v>82</v>
      </c>
      <c r="B574" s="47"/>
      <c r="C574" s="146" t="str">
        <f>+C132</f>
        <v>NP</v>
      </c>
      <c r="D574" s="47"/>
      <c r="E574" s="47"/>
      <c r="F574" s="47"/>
      <c r="G574" s="47"/>
      <c r="H574" s="47"/>
    </row>
    <row r="575" spans="1:10" ht="15" customHeight="1" x14ac:dyDescent="0.25">
      <c r="A575" s="89" t="s">
        <v>81</v>
      </c>
      <c r="B575" s="47"/>
      <c r="C575" s="146" t="str">
        <f>+C137</f>
        <v>NP</v>
      </c>
      <c r="D575" s="47"/>
      <c r="E575" s="47"/>
      <c r="F575" s="47"/>
      <c r="G575" s="47"/>
      <c r="H575" s="47"/>
    </row>
    <row r="576" spans="1:10" ht="15" customHeight="1" x14ac:dyDescent="0.25">
      <c r="A576" s="89" t="s">
        <v>477</v>
      </c>
      <c r="B576" s="47"/>
      <c r="C576" s="146" t="str">
        <f>+IF(G189=1,"NP","SP")</f>
        <v>NP</v>
      </c>
      <c r="D576" s="47"/>
      <c r="E576" s="47"/>
      <c r="F576" s="47"/>
      <c r="G576" s="47"/>
      <c r="H576" s="47"/>
    </row>
    <row r="577" spans="1:11" ht="5.0999999999999996" customHeight="1" x14ac:dyDescent="0.25">
      <c r="A577" s="87"/>
      <c r="C577" s="47"/>
      <c r="D577" s="47"/>
      <c r="E577" s="47"/>
      <c r="F577" s="47"/>
      <c r="G577" s="47"/>
      <c r="H577" s="47"/>
    </row>
    <row r="578" spans="1:11" ht="15" customHeight="1" x14ac:dyDescent="0.25">
      <c r="A578" s="90" t="s">
        <v>68</v>
      </c>
      <c r="B578" s="91" t="s">
        <v>70</v>
      </c>
      <c r="C578" s="91" t="s">
        <v>69</v>
      </c>
      <c r="D578" s="91" t="s">
        <v>71</v>
      </c>
      <c r="E578" s="90" t="s">
        <v>72</v>
      </c>
      <c r="F578" s="190" t="s">
        <v>507</v>
      </c>
      <c r="G578" s="190" t="s">
        <v>1833</v>
      </c>
      <c r="H578" s="190" t="s">
        <v>508</v>
      </c>
    </row>
    <row r="579" spans="1:11" ht="15" customHeight="1" x14ac:dyDescent="0.25">
      <c r="A579" s="92">
        <f>+E103</f>
        <v>5</v>
      </c>
      <c r="B579" s="92">
        <f>+E132</f>
        <v>1</v>
      </c>
      <c r="C579" s="92">
        <f>+E137</f>
        <v>1</v>
      </c>
      <c r="D579" s="192">
        <f>+G189</f>
        <v>1</v>
      </c>
      <c r="E579" s="92">
        <f>+A579*B579*C579*D579</f>
        <v>5</v>
      </c>
      <c r="F579" s="191">
        <f>+E579/E584</f>
        <v>1</v>
      </c>
      <c r="G579" s="146" t="str">
        <f>+IF(F579&lt;1.25,"OK","AJUSTAR")</f>
        <v>OK</v>
      </c>
      <c r="H579" s="191">
        <f>IF(G579="AJUSTAR",1.25*E584,E579)</f>
        <v>5</v>
      </c>
    </row>
    <row r="580" spans="1:11" ht="5.0999999999999996" customHeight="1" x14ac:dyDescent="0.25">
      <c r="A580" s="46"/>
      <c r="B580" s="47"/>
      <c r="C580" s="47"/>
      <c r="D580" s="47"/>
      <c r="E580" s="47"/>
      <c r="F580" s="47"/>
      <c r="G580" s="47"/>
      <c r="H580" s="47"/>
    </row>
    <row r="581" spans="1:11" ht="15" customHeight="1" x14ac:dyDescent="0.25">
      <c r="A581" s="89" t="s">
        <v>478</v>
      </c>
      <c r="B581" s="47"/>
      <c r="C581" s="146" t="str">
        <f>+IF(G194=1,"NP","SP")</f>
        <v>NP</v>
      </c>
      <c r="D581" s="47"/>
      <c r="E581" s="47"/>
      <c r="F581" s="47"/>
      <c r="G581" s="47"/>
      <c r="H581" s="47"/>
    </row>
    <row r="582" spans="1:11" ht="5.0999999999999996" customHeight="1" x14ac:dyDescent="0.25">
      <c r="A582" s="87"/>
      <c r="C582" s="47"/>
      <c r="D582" s="47"/>
      <c r="E582" s="47"/>
      <c r="F582" s="47"/>
      <c r="G582" s="47"/>
      <c r="H582" s="47"/>
    </row>
    <row r="583" spans="1:11" ht="15" customHeight="1" x14ac:dyDescent="0.25">
      <c r="A583" s="90" t="s">
        <v>68</v>
      </c>
      <c r="B583" s="91" t="s">
        <v>70</v>
      </c>
      <c r="C583" s="91" t="s">
        <v>69</v>
      </c>
      <c r="D583" s="91" t="s">
        <v>71</v>
      </c>
      <c r="E583" s="90" t="s">
        <v>72</v>
      </c>
    </row>
    <row r="584" spans="1:11" ht="15" customHeight="1" x14ac:dyDescent="0.25">
      <c r="A584" s="92">
        <f>+A579</f>
        <v>5</v>
      </c>
      <c r="B584" s="92">
        <f>+B579</f>
        <v>1</v>
      </c>
      <c r="C584" s="92">
        <f>+C579</f>
        <v>1</v>
      </c>
      <c r="D584" s="92">
        <f>+G194</f>
        <v>1</v>
      </c>
      <c r="E584" s="92">
        <f>+A584*B584*C584*D584</f>
        <v>5</v>
      </c>
    </row>
    <row r="585" spans="1:11" ht="5.0999999999999996" customHeight="1" x14ac:dyDescent="0.25">
      <c r="A585" s="46"/>
      <c r="B585" s="47"/>
      <c r="C585" s="47"/>
      <c r="D585" s="47"/>
      <c r="E585" s="47"/>
      <c r="F585" s="47"/>
      <c r="G585" s="47"/>
      <c r="H585" s="47"/>
    </row>
    <row r="586" spans="1:11" ht="15" customHeight="1" x14ac:dyDescent="0.25">
      <c r="A586" s="53" t="s">
        <v>3</v>
      </c>
      <c r="B586" s="47" t="s">
        <v>73</v>
      </c>
      <c r="C586" s="47"/>
      <c r="D586" s="47"/>
      <c r="E586" s="47"/>
      <c r="F586" s="47"/>
      <c r="G586" s="47"/>
      <c r="H586" s="47"/>
    </row>
    <row r="587" spans="1:11" ht="15" customHeight="1" x14ac:dyDescent="0.25">
      <c r="A587" s="93" t="s">
        <v>29</v>
      </c>
      <c r="B587" s="47" t="s">
        <v>74</v>
      </c>
      <c r="C587" s="47"/>
      <c r="D587" s="47"/>
      <c r="E587" s="47"/>
      <c r="F587" s="47"/>
      <c r="G587" s="47"/>
      <c r="H587" s="47"/>
    </row>
    <row r="588" spans="1:11" ht="15" customHeight="1" x14ac:dyDescent="0.25">
      <c r="A588" s="93" t="s">
        <v>30</v>
      </c>
      <c r="B588" s="47" t="s">
        <v>75</v>
      </c>
      <c r="C588" s="47"/>
      <c r="D588" s="47"/>
      <c r="E588" s="47"/>
      <c r="F588" s="47"/>
      <c r="G588" s="47"/>
      <c r="H588" s="47"/>
    </row>
    <row r="589" spans="1:11" ht="15" customHeight="1" x14ac:dyDescent="0.25">
      <c r="A589" s="53" t="s">
        <v>4</v>
      </c>
      <c r="B589" s="47" t="s">
        <v>76</v>
      </c>
      <c r="C589" s="47"/>
      <c r="D589" s="47"/>
      <c r="E589" s="47"/>
      <c r="F589" s="47"/>
      <c r="G589" s="47"/>
      <c r="H589" s="47"/>
      <c r="J589" s="27"/>
      <c r="K589" s="19"/>
    </row>
    <row r="590" spans="1:11" ht="5.0999999999999996" customHeight="1" x14ac:dyDescent="0.25">
      <c r="A590" s="75"/>
      <c r="B590" s="54"/>
      <c r="C590" s="54"/>
      <c r="D590" s="76"/>
      <c r="E590" s="76"/>
      <c r="F590" s="76"/>
      <c r="G590" s="76"/>
      <c r="H590" s="76"/>
      <c r="J590" s="27"/>
      <c r="K590" s="19"/>
    </row>
    <row r="591" spans="1:11" ht="15" customHeight="1" x14ac:dyDescent="0.25">
      <c r="A591" s="75" t="s">
        <v>366</v>
      </c>
      <c r="B591" s="54"/>
      <c r="C591" s="54"/>
      <c r="D591" s="76"/>
      <c r="E591" s="76"/>
      <c r="F591" s="76"/>
      <c r="G591" s="76"/>
      <c r="H591" s="76"/>
      <c r="J591" s="27"/>
    </row>
    <row r="592" spans="1:11" ht="15" customHeight="1" x14ac:dyDescent="0.25">
      <c r="A592" s="78" t="s">
        <v>349</v>
      </c>
      <c r="B592" s="78" t="s">
        <v>350</v>
      </c>
      <c r="C592" s="78" t="s">
        <v>351</v>
      </c>
      <c r="D592"/>
      <c r="E592"/>
      <c r="F592"/>
      <c r="G592"/>
      <c r="H592"/>
    </row>
    <row r="593" spans="1:24" ht="15" customHeight="1" x14ac:dyDescent="0.25">
      <c r="A593" s="78" t="str">
        <f>+B565</f>
        <v>SPECX</v>
      </c>
      <c r="B593" s="439">
        <f>G565*9.81</f>
        <v>12.470602975053534</v>
      </c>
      <c r="C593" s="440">
        <f>+B593*0.3</f>
        <v>3.7411808925160601</v>
      </c>
      <c r="D593" t="s">
        <v>367</v>
      </c>
      <c r="E593" s="232" t="s">
        <v>431</v>
      </c>
      <c r="F593"/>
      <c r="G593"/>
      <c r="H593"/>
    </row>
    <row r="594" spans="1:24" ht="15" customHeight="1" x14ac:dyDescent="0.25">
      <c r="A594" s="78" t="str">
        <f>+B566</f>
        <v>SPECY</v>
      </c>
      <c r="B594" s="441">
        <f>+C594*0.3</f>
        <v>3.6983702184191891</v>
      </c>
      <c r="C594" s="439">
        <f>G566*9.81</f>
        <v>12.327900728063964</v>
      </c>
      <c r="D594" t="s">
        <v>367</v>
      </c>
      <c r="E594" s="232" t="s">
        <v>432</v>
      </c>
      <c r="F594"/>
      <c r="G594"/>
      <c r="H594"/>
    </row>
    <row r="595" spans="1:24" ht="5.0999999999999996" customHeight="1" x14ac:dyDescent="0.25">
      <c r="A595" s="13"/>
      <c r="B595" s="277"/>
      <c r="C595" s="277"/>
      <c r="D595"/>
      <c r="E595" s="45"/>
      <c r="F595"/>
      <c r="G595"/>
      <c r="H595"/>
    </row>
    <row r="596" spans="1:24" ht="15" customHeight="1" x14ac:dyDescent="0.25">
      <c r="A596" s="78" t="str">
        <f>+A593</f>
        <v>SPECX</v>
      </c>
      <c r="B596" s="442">
        <f>B593/$H$579</f>
        <v>2.494120595010707</v>
      </c>
      <c r="C596" s="442">
        <f>C593/$H$579</f>
        <v>0.748236178503212</v>
      </c>
      <c r="D596" t="s">
        <v>367</v>
      </c>
      <c r="E596" s="232" t="s">
        <v>433</v>
      </c>
      <c r="F596"/>
      <c r="G596"/>
      <c r="H596"/>
    </row>
    <row r="597" spans="1:24" ht="15" customHeight="1" x14ac:dyDescent="0.3">
      <c r="A597" s="78" t="str">
        <f>+A594</f>
        <v>SPECY</v>
      </c>
      <c r="B597" s="442">
        <f>+B594/$E$584</f>
        <v>0.73967404368383782</v>
      </c>
      <c r="C597" s="442">
        <f>C594/$E$584</f>
        <v>2.465580145612793</v>
      </c>
      <c r="D597" t="s">
        <v>367</v>
      </c>
      <c r="E597" s="232" t="s">
        <v>437</v>
      </c>
      <c r="F597"/>
      <c r="G597"/>
      <c r="H597"/>
      <c r="J597" s="188"/>
      <c r="K597" s="188"/>
    </row>
    <row r="598" spans="1:24" ht="5.0999999999999996" customHeight="1" x14ac:dyDescent="0.3">
      <c r="A598" s="13"/>
      <c r="B598" s="178"/>
      <c r="C598" s="178"/>
      <c r="D598"/>
      <c r="E598" s="157"/>
      <c r="F598"/>
      <c r="G598"/>
      <c r="H598"/>
      <c r="J598" s="188"/>
      <c r="K598" s="188"/>
    </row>
    <row r="599" spans="1:24" ht="15" customHeight="1" x14ac:dyDescent="0.25">
      <c r="A599" s="78" t="s">
        <v>349</v>
      </c>
      <c r="B599" s="174" t="s">
        <v>440</v>
      </c>
      <c r="C599" s="174" t="s">
        <v>441</v>
      </c>
      <c r="D599" s="174" t="s">
        <v>442</v>
      </c>
      <c r="E599" s="78" t="s">
        <v>361</v>
      </c>
      <c r="F599" s="76"/>
      <c r="G599" s="461" t="s">
        <v>443</v>
      </c>
      <c r="H599" s="461"/>
    </row>
    <row r="600" spans="1:24" ht="15" customHeight="1" x14ac:dyDescent="0.25">
      <c r="A600" s="174" t="s">
        <v>438</v>
      </c>
      <c r="B600" s="237">
        <v>62769.581200000001</v>
      </c>
      <c r="C600" s="237">
        <v>21951.9696</v>
      </c>
      <c r="D600" s="150">
        <f>+SQRT(B600^2+C600^2)</f>
        <v>66497.438246467194</v>
      </c>
      <c r="E600" s="151">
        <f>+E565</f>
        <v>66489.543120000002</v>
      </c>
      <c r="F600" s="8" t="s">
        <v>357</v>
      </c>
      <c r="G600" s="177">
        <f>D600/E600</f>
        <v>1.0001187423780751</v>
      </c>
      <c r="H600" s="165" t="str">
        <f>+IF(D600&gt;=0.99*E600,"OK","REVISAR")</f>
        <v>OK</v>
      </c>
    </row>
    <row r="601" spans="1:24" ht="15" customHeight="1" x14ac:dyDescent="0.25">
      <c r="A601" s="174" t="s">
        <v>439</v>
      </c>
      <c r="B601" s="237">
        <v>18688.789000000001</v>
      </c>
      <c r="C601" s="237">
        <v>72125.309200000003</v>
      </c>
      <c r="D601" s="150">
        <f>+SQRT(B601^2+C601^2)</f>
        <v>74507.255092924519</v>
      </c>
      <c r="E601" s="354">
        <f>+E566</f>
        <v>74502.744400000011</v>
      </c>
      <c r="F601" s="8" t="s">
        <v>357</v>
      </c>
      <c r="G601" s="355">
        <f>D601/E601</f>
        <v>1.0000605439834578</v>
      </c>
      <c r="H601" s="165" t="str">
        <f>+IF(D601&gt;=0.99*E601,"OK","REVISAR")</f>
        <v>OK</v>
      </c>
    </row>
    <row r="602" spans="1:24" ht="5.0999999999999996" customHeight="1" x14ac:dyDescent="0.25">
      <c r="A602" s="13"/>
      <c r="B602" s="178"/>
      <c r="C602" s="178"/>
      <c r="D602"/>
      <c r="E602" s="157"/>
      <c r="F602"/>
      <c r="G602"/>
      <c r="H602"/>
    </row>
    <row r="603" spans="1:24" ht="15" customHeight="1" x14ac:dyDescent="0.25">
      <c r="A603" s="32" t="s">
        <v>368</v>
      </c>
    </row>
    <row r="604" spans="1:24" ht="15" customHeight="1" x14ac:dyDescent="0.25">
      <c r="A604" s="19" t="s">
        <v>651</v>
      </c>
    </row>
    <row r="605" spans="1:24" ht="15" customHeight="1" x14ac:dyDescent="0.25">
      <c r="A605" s="19" t="s">
        <v>652</v>
      </c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5.0999999999999996" customHeight="1" x14ac:dyDescent="0.25">
      <c r="A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5" customHeight="1" x14ac:dyDescent="0.25">
      <c r="A607" s="32" t="s">
        <v>369</v>
      </c>
      <c r="J607" s="38"/>
      <c r="K607" s="38"/>
      <c r="L607" s="38"/>
      <c r="M607" s="38"/>
      <c r="N607" s="38"/>
      <c r="O607" s="38"/>
      <c r="P607" s="38"/>
      <c r="Q607" s="38"/>
      <c r="R607" s="8"/>
      <c r="S607" s="8"/>
      <c r="T607" s="8"/>
      <c r="U607" s="8"/>
      <c r="V607" s="8"/>
      <c r="W607" s="8"/>
      <c r="X607" s="8"/>
    </row>
    <row r="608" spans="1:24" s="8" customFormat="1" ht="15" customHeight="1" x14ac:dyDescent="0.25">
      <c r="A608" s="19" t="s">
        <v>370</v>
      </c>
      <c r="J608" s="38"/>
      <c r="K608" s="38"/>
      <c r="L608" s="38"/>
      <c r="M608" s="38"/>
      <c r="N608" s="38"/>
      <c r="O608" s="38"/>
      <c r="P608" s="38"/>
      <c r="Q608" s="38"/>
    </row>
    <row r="609" spans="1:24" s="8" customFormat="1" ht="15" customHeight="1" x14ac:dyDescent="0.25">
      <c r="A609" s="19" t="s">
        <v>653</v>
      </c>
      <c r="J609"/>
      <c r="K609"/>
      <c r="L609"/>
      <c r="M609"/>
      <c r="N609"/>
      <c r="O609"/>
      <c r="P609"/>
      <c r="Q609"/>
      <c r="R609" s="1"/>
      <c r="S609" s="1"/>
      <c r="T609" s="1"/>
      <c r="U609" s="1"/>
      <c r="V609" s="1"/>
      <c r="W609" s="1"/>
      <c r="X609" s="1"/>
    </row>
    <row r="610" spans="1:24" s="8" customFormat="1" ht="15" customHeight="1" x14ac:dyDescent="0.25">
      <c r="A610" s="232" t="s">
        <v>654</v>
      </c>
      <c r="B610" s="46"/>
      <c r="C610" s="46"/>
      <c r="D610" s="154"/>
      <c r="E610" s="46"/>
      <c r="F610" s="46"/>
      <c r="G610" s="46"/>
      <c r="H610" s="46"/>
      <c r="I610" s="38"/>
      <c r="J610"/>
      <c r="K610"/>
      <c r="L610"/>
      <c r="M610"/>
      <c r="N610"/>
      <c r="O610"/>
      <c r="P610"/>
      <c r="Q610"/>
      <c r="R610" s="1"/>
      <c r="S610" s="1"/>
      <c r="T610" s="1"/>
      <c r="U610" s="1"/>
      <c r="V610" s="1"/>
      <c r="W610" s="1"/>
      <c r="X610" s="1"/>
    </row>
    <row r="611" spans="1:24" s="8" customFormat="1" ht="5.0999999999999996" customHeight="1" x14ac:dyDescent="0.25">
      <c r="A611" s="153"/>
      <c r="B611" s="46"/>
      <c r="C611" s="46"/>
      <c r="D611" s="154"/>
      <c r="E611" s="46"/>
      <c r="F611" s="46"/>
      <c r="G611" s="46"/>
      <c r="H611" s="46"/>
      <c r="I611" s="38"/>
      <c r="J611"/>
      <c r="K611"/>
      <c r="L611"/>
      <c r="M611"/>
      <c r="N611"/>
      <c r="O611"/>
      <c r="P611"/>
      <c r="Q611"/>
      <c r="R611" s="1"/>
      <c r="S611" s="1"/>
      <c r="T611" s="1"/>
      <c r="U611" s="1"/>
      <c r="V611" s="1"/>
      <c r="W611" s="1"/>
      <c r="X611" s="1"/>
    </row>
    <row r="612" spans="1:24" ht="15" customHeight="1" x14ac:dyDescent="0.25">
      <c r="A612" s="123" t="s">
        <v>380</v>
      </c>
      <c r="B612" s="124"/>
      <c r="C612" s="124"/>
      <c r="D612" s="124"/>
      <c r="E612" s="124"/>
      <c r="F612" s="124"/>
      <c r="G612" s="124"/>
      <c r="H612" s="124"/>
      <c r="I612" s="144"/>
    </row>
    <row r="613" spans="1:24" ht="15" customHeight="1" x14ac:dyDescent="0.25">
      <c r="A613" s="161" t="s">
        <v>427</v>
      </c>
      <c r="B613" s="124"/>
      <c r="C613" s="124"/>
      <c r="D613" s="124"/>
      <c r="E613" s="124"/>
      <c r="F613" s="124"/>
      <c r="G613" s="124"/>
      <c r="H613" s="124"/>
      <c r="I613" s="144"/>
      <c r="J613"/>
      <c r="K613"/>
      <c r="L613"/>
      <c r="M613"/>
      <c r="N613"/>
      <c r="O613"/>
      <c r="P613"/>
      <c r="Q613"/>
    </row>
    <row r="614" spans="1:24" ht="15" customHeight="1" x14ac:dyDescent="0.25">
      <c r="A614" s="161" t="s">
        <v>414</v>
      </c>
      <c r="B614" s="124"/>
      <c r="C614" s="124"/>
      <c r="D614" s="124"/>
      <c r="E614" s="124"/>
      <c r="F614" s="124"/>
      <c r="G614" s="124"/>
      <c r="H614" s="124"/>
      <c r="I614" s="144"/>
      <c r="J614"/>
      <c r="K614"/>
      <c r="L614"/>
      <c r="M614"/>
      <c r="N614"/>
      <c r="O614"/>
      <c r="P614"/>
      <c r="Q614"/>
    </row>
    <row r="615" spans="1:24" ht="15" customHeight="1" x14ac:dyDescent="0.25"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</row>
    <row r="616" spans="1:24" ht="15" customHeight="1" x14ac:dyDescent="0.3">
      <c r="A616" s="462" t="s">
        <v>444</v>
      </c>
      <c r="B616" s="462"/>
      <c r="C616" s="462"/>
      <c r="D616" s="462"/>
      <c r="E616" s="462"/>
      <c r="F616" s="462"/>
      <c r="G616" s="462"/>
      <c r="H616"/>
      <c r="I616"/>
      <c r="J616"/>
      <c r="K616"/>
      <c r="L616"/>
      <c r="M616"/>
      <c r="N616"/>
      <c r="O616"/>
      <c r="P616"/>
      <c r="Q616"/>
    </row>
    <row r="617" spans="1:24" ht="15" customHeight="1" x14ac:dyDescent="0.25">
      <c r="A617" t="s">
        <v>445</v>
      </c>
      <c r="B617"/>
      <c r="C617"/>
      <c r="D617" s="179"/>
      <c r="E617" s="179"/>
      <c r="F617"/>
      <c r="G617"/>
      <c r="H617"/>
      <c r="I617"/>
      <c r="J617"/>
      <c r="K617"/>
      <c r="L617"/>
      <c r="M617"/>
      <c r="N617"/>
      <c r="O617"/>
      <c r="P617"/>
      <c r="Q617"/>
    </row>
    <row r="618" spans="1:24" s="157" customFormat="1" ht="15" customHeight="1" x14ac:dyDescent="0.25">
      <c r="A618" s="157" t="s">
        <v>655</v>
      </c>
      <c r="J618"/>
      <c r="K618"/>
      <c r="L618"/>
      <c r="M618"/>
      <c r="N618"/>
      <c r="O618"/>
      <c r="P618"/>
      <c r="Q618"/>
      <c r="R618" s="1"/>
      <c r="S618" s="1"/>
      <c r="T618" s="1"/>
      <c r="U618" s="1"/>
      <c r="V618" s="1"/>
      <c r="W618" s="1"/>
      <c r="X618" s="1"/>
    </row>
    <row r="619" spans="1:24" ht="5.0999999999999996" customHeight="1" x14ac:dyDescent="0.25">
      <c r="A619"/>
      <c r="B619"/>
      <c r="C619"/>
      <c r="D619" s="179"/>
      <c r="E619" s="179"/>
      <c r="F619"/>
      <c r="G619"/>
      <c r="H619"/>
      <c r="I619"/>
      <c r="J619" s="225"/>
      <c r="K619" s="225"/>
      <c r="L619" s="225"/>
      <c r="M619" s="225"/>
      <c r="N619" s="225"/>
      <c r="O619" s="225"/>
      <c r="P619" s="225"/>
      <c r="Q619"/>
      <c r="R619" s="225"/>
      <c r="S619" s="225"/>
    </row>
    <row r="620" spans="1:24" ht="15" customHeight="1" x14ac:dyDescent="0.3">
      <c r="A620" s="463" t="s">
        <v>511</v>
      </c>
      <c r="B620" s="464"/>
      <c r="C620" s="464"/>
      <c r="D620" s="464"/>
      <c r="E620" s="464"/>
      <c r="F620" s="464"/>
      <c r="G620" s="465"/>
      <c r="H620"/>
      <c r="I620"/>
      <c r="J620" s="225"/>
      <c r="K620" s="225"/>
      <c r="L620" s="225"/>
      <c r="M620" s="225"/>
      <c r="N620" s="225"/>
      <c r="O620" s="225"/>
      <c r="P620" s="225"/>
      <c r="Q620"/>
      <c r="R620" s="225"/>
      <c r="S620" s="225"/>
    </row>
    <row r="621" spans="1:24" ht="15" customHeight="1" x14ac:dyDescent="0.3">
      <c r="A621" s="215" t="s">
        <v>435</v>
      </c>
      <c r="B621" s="283" t="s">
        <v>446</v>
      </c>
      <c r="C621" s="283" t="s">
        <v>447</v>
      </c>
      <c r="D621" s="283" t="s">
        <v>448</v>
      </c>
      <c r="E621" s="283" t="s">
        <v>449</v>
      </c>
      <c r="F621" s="283" t="s">
        <v>450</v>
      </c>
      <c r="G621" s="283" t="s">
        <v>451</v>
      </c>
      <c r="H621"/>
      <c r="I621" s="225"/>
      <c r="J621" s="225"/>
      <c r="K621" s="225"/>
      <c r="L621" s="225"/>
      <c r="M621" s="225"/>
      <c r="N621" s="225"/>
      <c r="O621" s="225"/>
      <c r="P621" s="225"/>
      <c r="Q621"/>
      <c r="R621" s="225"/>
      <c r="S621" s="225"/>
    </row>
    <row r="622" spans="1:24" ht="15" customHeight="1" x14ac:dyDescent="0.25">
      <c r="A622" s="180" t="s">
        <v>1797</v>
      </c>
      <c r="B622" s="226">
        <v>1.2506E-2</v>
      </c>
      <c r="C622" s="226">
        <v>9.0430000000000007E-3</v>
      </c>
      <c r="D622" s="228"/>
      <c r="E622" s="228"/>
      <c r="F622" s="227" t="s">
        <v>689</v>
      </c>
      <c r="G622" s="227" t="s">
        <v>689</v>
      </c>
      <c r="H622"/>
      <c r="I622" s="225"/>
      <c r="J622" s="225"/>
      <c r="K622" s="225"/>
      <c r="L622" s="225"/>
      <c r="M622" s="225"/>
      <c r="N622" s="225"/>
      <c r="O622" s="225"/>
      <c r="P622" s="225"/>
      <c r="Q622"/>
      <c r="R622" s="225"/>
      <c r="S622" s="225"/>
    </row>
    <row r="623" spans="1:24" ht="15" customHeight="1" x14ac:dyDescent="0.25">
      <c r="A623" s="180" t="s">
        <v>1798</v>
      </c>
      <c r="B623" s="226">
        <v>1.2569E-2</v>
      </c>
      <c r="C623" s="226">
        <v>9.1170000000000001E-3</v>
      </c>
      <c r="D623" s="282"/>
      <c r="E623" s="282"/>
      <c r="F623" s="227" t="s">
        <v>689</v>
      </c>
      <c r="G623" s="227" t="s">
        <v>689</v>
      </c>
      <c r="H623"/>
      <c r="I623" s="225"/>
      <c r="J623" s="225"/>
      <c r="K623" s="225"/>
      <c r="L623" s="225"/>
      <c r="M623" s="225"/>
      <c r="N623" s="225"/>
      <c r="O623" s="225"/>
      <c r="P623" s="225"/>
      <c r="Q623"/>
      <c r="R623" s="225"/>
      <c r="S623" s="225"/>
    </row>
    <row r="624" spans="1:24" ht="15" customHeight="1" x14ac:dyDescent="0.25">
      <c r="A624" s="180" t="s">
        <v>1799</v>
      </c>
      <c r="B624" s="226">
        <v>1.2560999999999999E-2</v>
      </c>
      <c r="C624" s="226">
        <v>9.1400000000000006E-3</v>
      </c>
      <c r="D624" s="282">
        <f>1.3*B623</f>
        <v>1.6339700000000002E-2</v>
      </c>
      <c r="E624" s="282">
        <f>1.3*C623</f>
        <v>1.1852100000000001E-2</v>
      </c>
      <c r="F624" s="227" t="str">
        <f>+IF(B623&lt;D624,"Regular")</f>
        <v>Regular</v>
      </c>
      <c r="G624" s="227" t="str">
        <f>+IF(C623&lt;E624,"Regular")</f>
        <v>Regular</v>
      </c>
      <c r="H624"/>
      <c r="I624" s="225"/>
      <c r="J624" s="225"/>
      <c r="K624" s="225"/>
      <c r="L624" s="225"/>
      <c r="M624" s="225"/>
      <c r="N624" s="225"/>
      <c r="O624" s="225"/>
      <c r="P624" s="225"/>
      <c r="Q624"/>
      <c r="R624" s="225"/>
      <c r="S624" s="225"/>
    </row>
    <row r="625" spans="1:19" ht="15" customHeight="1" x14ac:dyDescent="0.25">
      <c r="A625" s="180" t="s">
        <v>1800</v>
      </c>
      <c r="B625" s="226">
        <v>1.2429000000000001E-2</v>
      </c>
      <c r="C625" s="226">
        <v>9.0779999999999993E-3</v>
      </c>
      <c r="D625" s="282">
        <f t="shared" ref="D625:D637" si="0">1.3*B624</f>
        <v>1.6329299999999998E-2</v>
      </c>
      <c r="E625" s="282">
        <f t="shared" ref="E625:E637" si="1">1.3*C624</f>
        <v>1.1882000000000002E-2</v>
      </c>
      <c r="F625" s="227" t="str">
        <f t="shared" ref="F625:F637" si="2">+IF(B624&lt;D625,"Regular")</f>
        <v>Regular</v>
      </c>
      <c r="G625" s="227" t="str">
        <f t="shared" ref="G625:G637" si="3">+IF(C624&lt;E625,"Regular")</f>
        <v>Regular</v>
      </c>
      <c r="H625"/>
      <c r="I625" s="225"/>
      <c r="J625" s="225"/>
      <c r="K625" s="225"/>
      <c r="L625" s="225"/>
      <c r="M625" s="225"/>
      <c r="N625" s="225"/>
      <c r="O625" s="225"/>
      <c r="P625" s="225"/>
      <c r="Q625"/>
      <c r="R625" s="225"/>
      <c r="S625" s="225"/>
    </row>
    <row r="626" spans="1:19" ht="15" customHeight="1" x14ac:dyDescent="0.25">
      <c r="A626" s="180" t="s">
        <v>1801</v>
      </c>
      <c r="B626" s="226">
        <v>1.213E-2</v>
      </c>
      <c r="C626" s="226">
        <v>8.8999999999999999E-3</v>
      </c>
      <c r="D626" s="282">
        <f t="shared" si="0"/>
        <v>1.6157700000000001E-2</v>
      </c>
      <c r="E626" s="282">
        <f t="shared" si="1"/>
        <v>1.18014E-2</v>
      </c>
      <c r="F626" s="227" t="str">
        <f t="shared" si="2"/>
        <v>Regular</v>
      </c>
      <c r="G626" s="227" t="str">
        <f t="shared" si="3"/>
        <v>Regular</v>
      </c>
      <c r="H626"/>
      <c r="I626" s="225"/>
      <c r="J626" s="225"/>
      <c r="K626" s="225"/>
      <c r="L626" s="225"/>
      <c r="M626" s="225"/>
      <c r="N626" s="225"/>
      <c r="O626" s="225"/>
      <c r="P626" s="225"/>
      <c r="Q626"/>
      <c r="R626" s="225"/>
      <c r="S626" s="225"/>
    </row>
    <row r="627" spans="1:19" ht="15" customHeight="1" x14ac:dyDescent="0.25">
      <c r="A627" s="180" t="s">
        <v>1802</v>
      </c>
      <c r="B627" s="226">
        <v>1.1613999999999999E-2</v>
      </c>
      <c r="C627" s="226">
        <v>8.5760000000000003E-3</v>
      </c>
      <c r="D627" s="282">
        <f t="shared" si="0"/>
        <v>1.5769000000000002E-2</v>
      </c>
      <c r="E627" s="282">
        <f t="shared" si="1"/>
        <v>1.157E-2</v>
      </c>
      <c r="F627" s="227" t="str">
        <f t="shared" si="2"/>
        <v>Regular</v>
      </c>
      <c r="G627" s="227" t="str">
        <f t="shared" si="3"/>
        <v>Regular</v>
      </c>
      <c r="H627"/>
      <c r="I627" s="225"/>
      <c r="J627" s="225"/>
      <c r="K627" s="225"/>
      <c r="L627" s="225"/>
      <c r="M627" s="225"/>
      <c r="N627" s="225"/>
      <c r="O627" s="225"/>
      <c r="P627" s="225"/>
      <c r="Q627"/>
      <c r="R627" s="225"/>
      <c r="S627" s="225"/>
    </row>
    <row r="628" spans="1:19" ht="15" customHeight="1" x14ac:dyDescent="0.25">
      <c r="A628" s="180" t="s">
        <v>1803</v>
      </c>
      <c r="B628" s="226">
        <v>1.0893E-2</v>
      </c>
      <c r="C628" s="226">
        <v>8.0770000000000008E-3</v>
      </c>
      <c r="D628" s="282">
        <f t="shared" si="0"/>
        <v>1.5098199999999999E-2</v>
      </c>
      <c r="E628" s="282">
        <f t="shared" si="1"/>
        <v>1.11488E-2</v>
      </c>
      <c r="F628" s="227" t="str">
        <f t="shared" si="2"/>
        <v>Regular</v>
      </c>
      <c r="G628" s="227" t="str">
        <f t="shared" si="3"/>
        <v>Regular</v>
      </c>
      <c r="H628"/>
      <c r="I628" s="225"/>
      <c r="J628" s="225"/>
      <c r="K628" s="225"/>
      <c r="L628" s="225"/>
      <c r="M628" s="225"/>
      <c r="N628" s="225"/>
      <c r="O628" s="225"/>
      <c r="P628" s="225"/>
      <c r="Q628"/>
      <c r="R628" s="225"/>
      <c r="S628" s="225"/>
    </row>
    <row r="629" spans="1:19" ht="15" customHeight="1" x14ac:dyDescent="0.25">
      <c r="A629" s="180" t="s">
        <v>1804</v>
      </c>
      <c r="B629" s="226">
        <v>1.0309E-2</v>
      </c>
      <c r="C629" s="226">
        <v>7.6629999999999997E-3</v>
      </c>
      <c r="D629" s="282">
        <f t="shared" si="0"/>
        <v>1.4160900000000001E-2</v>
      </c>
      <c r="E629" s="282">
        <f t="shared" si="1"/>
        <v>1.0500100000000002E-2</v>
      </c>
      <c r="F629" s="227" t="str">
        <f t="shared" si="2"/>
        <v>Regular</v>
      </c>
      <c r="G629" s="227" t="str">
        <f t="shared" si="3"/>
        <v>Regular</v>
      </c>
      <c r="H629"/>
      <c r="I629" s="225"/>
      <c r="J629" s="225"/>
      <c r="K629" s="225"/>
      <c r="L629" s="225"/>
      <c r="M629" s="225"/>
      <c r="N629" s="225"/>
      <c r="O629" s="225"/>
      <c r="P629" s="225"/>
      <c r="Q629"/>
      <c r="R629" s="225"/>
      <c r="S629" s="225"/>
    </row>
    <row r="630" spans="1:19" ht="15" customHeight="1" x14ac:dyDescent="0.25">
      <c r="A630" s="180" t="s">
        <v>1805</v>
      </c>
      <c r="B630" s="226">
        <v>9.5849999999999998E-3</v>
      </c>
      <c r="C630" s="226">
        <v>7.1520000000000004E-3</v>
      </c>
      <c r="D630" s="282">
        <f t="shared" si="0"/>
        <v>1.3401700000000001E-2</v>
      </c>
      <c r="E630" s="282">
        <f t="shared" si="1"/>
        <v>9.9618999999999992E-3</v>
      </c>
      <c r="F630" s="227" t="str">
        <f t="shared" si="2"/>
        <v>Regular</v>
      </c>
      <c r="G630" s="227" t="str">
        <f t="shared" si="3"/>
        <v>Regular</v>
      </c>
      <c r="H630"/>
      <c r="I630" s="225"/>
      <c r="J630" s="225"/>
      <c r="K630" s="225"/>
      <c r="L630" s="225"/>
      <c r="M630" s="225"/>
      <c r="N630" s="225"/>
      <c r="O630" s="225"/>
      <c r="P630" s="225"/>
      <c r="Q630"/>
      <c r="R630" s="225"/>
      <c r="S630" s="225"/>
    </row>
    <row r="631" spans="1:19" ht="15" customHeight="1" x14ac:dyDescent="0.25">
      <c r="A631" s="180" t="s">
        <v>1806</v>
      </c>
      <c r="B631" s="226">
        <v>8.6929999999999993E-3</v>
      </c>
      <c r="C631" s="226">
        <v>6.5199999999999998E-3</v>
      </c>
      <c r="D631" s="282">
        <f t="shared" si="0"/>
        <v>1.2460499999999999E-2</v>
      </c>
      <c r="E631" s="282">
        <f t="shared" si="1"/>
        <v>9.2976000000000013E-3</v>
      </c>
      <c r="F631" s="227" t="str">
        <f t="shared" si="2"/>
        <v>Regular</v>
      </c>
      <c r="G631" s="227" t="str">
        <f t="shared" si="3"/>
        <v>Regular</v>
      </c>
      <c r="H631"/>
      <c r="I631" s="225"/>
      <c r="J631" s="225"/>
      <c r="K631" s="225"/>
      <c r="L631" s="225"/>
      <c r="M631" s="225"/>
      <c r="N631" s="225"/>
      <c r="O631" s="225"/>
      <c r="P631" s="225"/>
      <c r="Q631"/>
      <c r="R631" s="225"/>
      <c r="S631" s="225"/>
    </row>
    <row r="632" spans="1:19" ht="15" customHeight="1" x14ac:dyDescent="0.25">
      <c r="A632" s="180" t="s">
        <v>1807</v>
      </c>
      <c r="B632" s="226">
        <v>7.6160000000000004E-3</v>
      </c>
      <c r="C632" s="226">
        <v>5.7479999999999996E-3</v>
      </c>
      <c r="D632" s="282">
        <f t="shared" si="0"/>
        <v>1.1300899999999999E-2</v>
      </c>
      <c r="E632" s="282">
        <f t="shared" si="1"/>
        <v>8.4759999999999992E-3</v>
      </c>
      <c r="F632" s="227" t="str">
        <f t="shared" si="2"/>
        <v>Regular</v>
      </c>
      <c r="G632" s="227" t="str">
        <f t="shared" si="3"/>
        <v>Regular</v>
      </c>
      <c r="H632"/>
      <c r="I632" s="225"/>
      <c r="J632" s="225"/>
      <c r="K632" s="225"/>
      <c r="L632" s="225"/>
      <c r="M632" s="225"/>
      <c r="N632" s="225"/>
      <c r="O632" s="225"/>
      <c r="P632" s="225"/>
      <c r="Q632"/>
      <c r="R632" s="225"/>
      <c r="S632" s="225"/>
    </row>
    <row r="633" spans="1:19" ht="15" customHeight="1" x14ac:dyDescent="0.25">
      <c r="A633" s="180" t="s">
        <v>1808</v>
      </c>
      <c r="B633" s="226">
        <v>6.4400000000000004E-3</v>
      </c>
      <c r="C633" s="226">
        <v>4.8650000000000004E-3</v>
      </c>
      <c r="D633" s="282">
        <f t="shared" si="0"/>
        <v>9.9008000000000013E-3</v>
      </c>
      <c r="E633" s="282">
        <f t="shared" si="1"/>
        <v>7.4723999999999997E-3</v>
      </c>
      <c r="F633" s="227" t="str">
        <f t="shared" si="2"/>
        <v>Regular</v>
      </c>
      <c r="G633" s="227" t="str">
        <f t="shared" si="3"/>
        <v>Regular</v>
      </c>
      <c r="H633"/>
      <c r="I633" s="225"/>
      <c r="J633" s="225"/>
      <c r="K633" s="225"/>
      <c r="L633" s="225"/>
      <c r="M633" s="225"/>
      <c r="N633" s="225"/>
      <c r="O633" s="225"/>
      <c r="P633" s="225"/>
      <c r="Q633"/>
      <c r="R633" s="225"/>
      <c r="S633" s="225"/>
    </row>
    <row r="634" spans="1:19" ht="15" customHeight="1" x14ac:dyDescent="0.25">
      <c r="A634" s="180" t="s">
        <v>1809</v>
      </c>
      <c r="B634" s="226">
        <v>5.3169999999999997E-3</v>
      </c>
      <c r="C634" s="226">
        <v>4.0699999999999998E-3</v>
      </c>
      <c r="D634" s="282">
        <f t="shared" si="0"/>
        <v>8.372000000000001E-3</v>
      </c>
      <c r="E634" s="282">
        <f t="shared" si="1"/>
        <v>6.3245000000000011E-3</v>
      </c>
      <c r="F634" s="227" t="str">
        <f t="shared" si="2"/>
        <v>Regular</v>
      </c>
      <c r="G634" s="227" t="str">
        <f t="shared" si="3"/>
        <v>Regular</v>
      </c>
      <c r="H634"/>
      <c r="I634" s="225"/>
      <c r="J634" s="225"/>
      <c r="K634" s="225"/>
      <c r="L634" s="225"/>
      <c r="M634" s="225"/>
      <c r="N634" s="225"/>
      <c r="O634" s="225"/>
      <c r="P634" s="225"/>
      <c r="Q634"/>
      <c r="R634" s="225"/>
      <c r="S634" s="225"/>
    </row>
    <row r="635" spans="1:19" ht="15" customHeight="1" x14ac:dyDescent="0.25">
      <c r="A635" s="180" t="s">
        <v>1810</v>
      </c>
      <c r="B635" s="226">
        <v>4.0390000000000001E-3</v>
      </c>
      <c r="C635" s="226">
        <v>3.166E-3</v>
      </c>
      <c r="D635" s="282">
        <f t="shared" si="0"/>
        <v>6.9121E-3</v>
      </c>
      <c r="E635" s="282">
        <f t="shared" si="1"/>
        <v>5.2909999999999997E-3</v>
      </c>
      <c r="F635" s="227" t="str">
        <f t="shared" si="2"/>
        <v>Regular</v>
      </c>
      <c r="G635" s="227" t="str">
        <f t="shared" si="3"/>
        <v>Regular</v>
      </c>
      <c r="H635"/>
      <c r="I635" s="225"/>
      <c r="J635" s="225"/>
      <c r="K635" s="225"/>
      <c r="L635" s="225"/>
      <c r="M635" s="225"/>
      <c r="N635" s="225"/>
      <c r="O635" s="225"/>
      <c r="P635" s="225"/>
      <c r="Q635"/>
      <c r="R635" s="225"/>
      <c r="S635" s="225"/>
    </row>
    <row r="636" spans="1:19" ht="15" customHeight="1" x14ac:dyDescent="0.25">
      <c r="A636" s="180" t="s">
        <v>1811</v>
      </c>
      <c r="B636" s="226">
        <v>2.6419999999999998E-3</v>
      </c>
      <c r="C636" s="226">
        <v>2.1410000000000001E-3</v>
      </c>
      <c r="D636" s="282">
        <f t="shared" si="0"/>
        <v>5.2507000000000005E-3</v>
      </c>
      <c r="E636" s="282">
        <f t="shared" si="1"/>
        <v>4.1158000000000002E-3</v>
      </c>
      <c r="F636" s="227" t="str">
        <f t="shared" si="2"/>
        <v>Regular</v>
      </c>
      <c r="G636" s="227" t="str">
        <f t="shared" si="3"/>
        <v>Regular</v>
      </c>
      <c r="H636"/>
      <c r="I636" s="225"/>
      <c r="J636" s="225"/>
      <c r="K636" s="225"/>
      <c r="L636" s="225"/>
      <c r="M636" s="225"/>
      <c r="N636" s="225"/>
      <c r="O636" s="225"/>
      <c r="P636" s="225"/>
      <c r="Q636"/>
      <c r="R636" s="225"/>
      <c r="S636" s="225"/>
    </row>
    <row r="637" spans="1:19" ht="15" customHeight="1" x14ac:dyDescent="0.25">
      <c r="A637" s="180" t="s">
        <v>1812</v>
      </c>
      <c r="B637" s="226">
        <v>6.96E-4</v>
      </c>
      <c r="C637" s="226">
        <v>8.6200000000000003E-4</v>
      </c>
      <c r="D637" s="282">
        <f t="shared" si="0"/>
        <v>3.4345999999999999E-3</v>
      </c>
      <c r="E637" s="282">
        <f t="shared" si="1"/>
        <v>2.7833000000000003E-3</v>
      </c>
      <c r="F637" s="227" t="str">
        <f t="shared" si="2"/>
        <v>Regular</v>
      </c>
      <c r="G637" s="227" t="str">
        <f t="shared" si="3"/>
        <v>Regular</v>
      </c>
      <c r="H637"/>
      <c r="I637" s="225"/>
      <c r="J637" s="225"/>
      <c r="K637" s="225"/>
      <c r="L637" s="225"/>
      <c r="M637" s="225"/>
      <c r="N637" s="225"/>
      <c r="O637" s="225"/>
      <c r="P637" s="225"/>
      <c r="Q637"/>
      <c r="R637" s="225"/>
      <c r="S637" s="225"/>
    </row>
    <row r="638" spans="1:19" ht="15" customHeight="1" x14ac:dyDescent="0.25">
      <c r="A638" s="278"/>
      <c r="B638" s="279"/>
      <c r="C638" s="279"/>
      <c r="D638" s="319"/>
      <c r="E638" s="319"/>
      <c r="F638" s="280"/>
      <c r="G638" s="280"/>
      <c r="H638"/>
      <c r="I638" s="225"/>
      <c r="J638" s="225"/>
      <c r="K638" s="225"/>
      <c r="L638" s="225"/>
      <c r="M638" s="225"/>
      <c r="N638" s="225"/>
      <c r="O638" s="225"/>
      <c r="P638" s="225"/>
      <c r="Q638"/>
      <c r="R638" s="225"/>
      <c r="S638" s="225"/>
    </row>
    <row r="639" spans="1:19" ht="15" customHeight="1" x14ac:dyDescent="0.25">
      <c r="A639" s="278"/>
      <c r="B639" s="279"/>
      <c r="C639" s="279"/>
      <c r="D639" s="319"/>
      <c r="E639" s="319"/>
      <c r="F639" s="280"/>
      <c r="G639" s="280"/>
      <c r="H639"/>
      <c r="I639" s="225"/>
      <c r="J639" s="225"/>
      <c r="K639" s="225"/>
      <c r="L639" s="225"/>
      <c r="M639" s="225"/>
      <c r="N639" s="225"/>
      <c r="O639" s="225"/>
      <c r="P639" s="225"/>
      <c r="Q639"/>
      <c r="R639" s="225"/>
      <c r="S639" s="225"/>
    </row>
    <row r="640" spans="1:19" ht="15" customHeight="1" x14ac:dyDescent="0.25">
      <c r="A640" s="278"/>
      <c r="B640" s="279"/>
      <c r="C640" s="279"/>
      <c r="D640" s="319"/>
      <c r="E640" s="319"/>
      <c r="F640" s="280"/>
      <c r="G640" s="280"/>
      <c r="H640"/>
      <c r="I640" s="225"/>
      <c r="J640"/>
      <c r="K640"/>
      <c r="L640"/>
      <c r="M640"/>
      <c r="N640"/>
      <c r="O640"/>
      <c r="P640"/>
      <c r="Q640"/>
    </row>
    <row r="641" spans="1:24" ht="15" customHeight="1" x14ac:dyDescent="0.25">
      <c r="A641" s="278"/>
      <c r="B641" s="279"/>
      <c r="C641" s="279"/>
      <c r="D641" s="319"/>
      <c r="E641" s="319"/>
      <c r="F641" s="280"/>
      <c r="G641" s="280"/>
      <c r="H641"/>
      <c r="I641" s="225"/>
      <c r="J641"/>
      <c r="K641"/>
      <c r="L641"/>
      <c r="M641"/>
      <c r="N641"/>
      <c r="O641"/>
      <c r="P641"/>
      <c r="Q641"/>
    </row>
    <row r="642" spans="1:24" ht="15" customHeight="1" x14ac:dyDescent="0.25">
      <c r="A642" s="278"/>
      <c r="B642" s="279"/>
      <c r="C642" s="279"/>
      <c r="D642" s="319"/>
      <c r="E642" s="319"/>
      <c r="F642" s="280"/>
      <c r="G642" s="280"/>
      <c r="H642"/>
      <c r="I642" s="225"/>
      <c r="J642"/>
      <c r="K642"/>
      <c r="L642"/>
      <c r="M642"/>
      <c r="N642"/>
      <c r="O642"/>
      <c r="P642"/>
      <c r="Q642"/>
    </row>
    <row r="643" spans="1:24" ht="15" customHeight="1" x14ac:dyDescent="0.25">
      <c r="A643" s="278"/>
      <c r="B643" s="279"/>
      <c r="C643" s="279"/>
      <c r="D643" s="319"/>
      <c r="E643" s="319"/>
      <c r="F643" s="280"/>
      <c r="G643" s="280"/>
      <c r="H643"/>
      <c r="I643" s="225"/>
      <c r="J643"/>
      <c r="K643"/>
      <c r="L643"/>
      <c r="M643"/>
      <c r="N643"/>
      <c r="O643"/>
      <c r="P643"/>
      <c r="Q643"/>
    </row>
    <row r="644" spans="1:24" ht="15" customHeight="1" x14ac:dyDescent="0.25">
      <c r="A644" s="278"/>
      <c r="B644" s="279"/>
      <c r="C644" s="279"/>
      <c r="D644" s="319"/>
      <c r="E644" s="319"/>
      <c r="F644" s="280"/>
      <c r="G644" s="280"/>
      <c r="H644"/>
      <c r="I644" s="225"/>
      <c r="J644"/>
      <c r="K644"/>
      <c r="L644"/>
      <c r="M644"/>
      <c r="N644"/>
      <c r="O644"/>
      <c r="P644"/>
      <c r="Q644"/>
    </row>
    <row r="645" spans="1:24" ht="15" customHeight="1" x14ac:dyDescent="0.25">
      <c r="A645" s="278"/>
      <c r="B645" s="279"/>
      <c r="C645" s="279"/>
      <c r="D645" s="319"/>
      <c r="E645" s="319"/>
      <c r="F645" s="280"/>
      <c r="G645" s="280"/>
      <c r="H645"/>
      <c r="I645" s="225"/>
      <c r="J645" s="225"/>
      <c r="K645" s="221"/>
      <c r="L645" s="221"/>
      <c r="M645" s="221"/>
      <c r="N645" s="221"/>
      <c r="O645" s="221"/>
      <c r="P645" s="221"/>
      <c r="Q645"/>
    </row>
    <row r="646" spans="1:24" s="418" customFormat="1" ht="15" customHeight="1" x14ac:dyDescent="0.25">
      <c r="A646" s="64"/>
      <c r="B646" s="64" t="s">
        <v>726</v>
      </c>
      <c r="C646" s="64"/>
      <c r="D646" s="416"/>
      <c r="E646" s="416"/>
      <c r="F646" s="64"/>
      <c r="G646" s="64"/>
      <c r="H646" s="64"/>
      <c r="I646" s="64"/>
      <c r="J646" s="419" t="s">
        <v>1952</v>
      </c>
      <c r="K646" s="417"/>
      <c r="L646" s="417"/>
      <c r="M646" s="417"/>
      <c r="N646" s="417"/>
      <c r="O646" s="417"/>
      <c r="Q646" s="64"/>
    </row>
    <row r="647" spans="1:24" ht="15" customHeight="1" x14ac:dyDescent="0.25">
      <c r="A647" s="157" t="s">
        <v>415</v>
      </c>
      <c r="B647"/>
      <c r="C647" s="229">
        <f>MAX(B622:C645)</f>
        <v>1.2569E-2</v>
      </c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</row>
    <row r="648" spans="1:24" ht="15" customHeight="1" x14ac:dyDescent="0.25">
      <c r="A648" s="157" t="s">
        <v>416</v>
      </c>
      <c r="B648"/>
      <c r="C648" s="229">
        <v>0.01</v>
      </c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</row>
    <row r="649" spans="1:24" ht="15" customHeight="1" x14ac:dyDescent="0.25">
      <c r="A649" s="80"/>
      <c r="B649" s="47"/>
      <c r="C649" s="49" t="str">
        <f>+IF(C647&lt;=C648,"CUMPLE","REVISAR")</f>
        <v>REVISAR</v>
      </c>
      <c r="D649" s="97"/>
      <c r="E649" s="47"/>
      <c r="F649" s="47"/>
      <c r="G649" s="47"/>
      <c r="H649" s="47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</row>
    <row r="650" spans="1:24" ht="5.0999999999999996" customHeight="1" x14ac:dyDescent="0.25">
      <c r="A650" s="80"/>
      <c r="B650" s="47"/>
      <c r="C650" s="49"/>
      <c r="D650" s="97"/>
      <c r="E650" s="47"/>
      <c r="F650" s="47"/>
      <c r="G650" s="47"/>
      <c r="H650" s="47"/>
      <c r="I650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</row>
    <row r="651" spans="1:24" ht="15" customHeight="1" x14ac:dyDescent="0.25">
      <c r="A651" s="153" t="s">
        <v>381</v>
      </c>
      <c r="B651" s="155"/>
      <c r="C651" s="97"/>
      <c r="D651" s="97"/>
      <c r="E651" s="47"/>
      <c r="F651" s="47"/>
      <c r="G651" s="47"/>
      <c r="H651" s="47"/>
      <c r="I651"/>
    </row>
    <row r="652" spans="1:24" customFormat="1" ht="15" customHeight="1" x14ac:dyDescent="0.25">
      <c r="A652" s="153" t="s">
        <v>382</v>
      </c>
      <c r="B652" s="155"/>
      <c r="C652" s="97"/>
      <c r="D652" s="97"/>
      <c r="E652" s="47"/>
      <c r="F652" s="47"/>
      <c r="G652" s="47"/>
      <c r="H652" s="4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s="124" customFormat="1" ht="5.0999999999999996" customHeight="1" x14ac:dyDescent="0.25">
      <c r="A653" s="153"/>
      <c r="B653" s="47"/>
      <c r="C653" s="47"/>
      <c r="D653" s="97"/>
      <c r="E653" s="47"/>
      <c r="F653" s="47"/>
      <c r="G653" s="47"/>
      <c r="H653" s="47"/>
      <c r="I653"/>
      <c r="J653"/>
      <c r="K653"/>
      <c r="L653"/>
      <c r="M653"/>
      <c r="N653"/>
      <c r="O653"/>
      <c r="P653"/>
      <c r="Q653"/>
      <c r="R653" s="1"/>
      <c r="S653" s="1"/>
      <c r="T653" s="1"/>
      <c r="U653" s="1"/>
      <c r="V653" s="1"/>
      <c r="W653" s="1"/>
      <c r="X653" s="1"/>
    </row>
    <row r="654" spans="1:24" ht="15" customHeight="1" x14ac:dyDescent="0.25">
      <c r="A654" s="167" t="s">
        <v>425</v>
      </c>
      <c r="B654" s="32"/>
      <c r="C654" s="32"/>
      <c r="D654" s="32"/>
      <c r="E654" s="32"/>
      <c r="F654" s="32"/>
      <c r="G654" s="32"/>
      <c r="H654" s="32"/>
      <c r="I654" s="32"/>
      <c r="J654"/>
      <c r="K654"/>
      <c r="L654"/>
      <c r="M654"/>
      <c r="N654"/>
      <c r="O654"/>
      <c r="P654"/>
      <c r="Q654"/>
    </row>
    <row r="655" spans="1:24" ht="15" customHeight="1" x14ac:dyDescent="0.25">
      <c r="A655" s="153" t="s">
        <v>371</v>
      </c>
      <c r="B655" s="45"/>
      <c r="C655" s="45"/>
      <c r="D655" s="45"/>
      <c r="E655" s="45"/>
      <c r="F655" s="45"/>
      <c r="G655" s="45"/>
      <c r="H655" s="45"/>
      <c r="J655"/>
      <c r="K655"/>
      <c r="L655"/>
      <c r="M655"/>
      <c r="N655"/>
      <c r="O655"/>
      <c r="P655"/>
      <c r="Q655"/>
    </row>
    <row r="656" spans="1:24" ht="15" customHeight="1" x14ac:dyDescent="0.25">
      <c r="A656" s="153" t="s">
        <v>372</v>
      </c>
      <c r="B656" s="45"/>
      <c r="C656" s="45"/>
      <c r="D656" s="45"/>
      <c r="E656" s="45"/>
      <c r="F656" s="45"/>
      <c r="G656" s="45"/>
      <c r="H656" s="45"/>
      <c r="J656"/>
      <c r="K656"/>
      <c r="L656"/>
      <c r="M656"/>
      <c r="N656"/>
      <c r="O656"/>
      <c r="P656"/>
      <c r="Q656"/>
    </row>
    <row r="657" spans="1:24" ht="15" customHeight="1" x14ac:dyDescent="0.25">
      <c r="A657" s="153" t="s">
        <v>373</v>
      </c>
      <c r="B657" s="45"/>
      <c r="C657" s="45"/>
      <c r="D657" s="45"/>
      <c r="E657" s="45"/>
      <c r="F657" s="45"/>
      <c r="G657" s="45"/>
      <c r="H657" s="45"/>
      <c r="I657"/>
      <c r="J657"/>
      <c r="K657"/>
      <c r="L657"/>
      <c r="M657"/>
      <c r="N657"/>
      <c r="O657"/>
      <c r="P657"/>
      <c r="Q657"/>
    </row>
    <row r="658" spans="1:24" ht="15" customHeight="1" x14ac:dyDescent="0.25">
      <c r="A658" s="153" t="s">
        <v>374</v>
      </c>
      <c r="B658" s="45"/>
      <c r="C658" s="45"/>
      <c r="D658" s="45"/>
      <c r="E658" s="45"/>
      <c r="F658" s="45"/>
      <c r="G658" s="45"/>
      <c r="H658" s="457"/>
      <c r="I658"/>
      <c r="J658"/>
      <c r="K658"/>
      <c r="L658"/>
      <c r="M658"/>
      <c r="N658"/>
      <c r="O658"/>
      <c r="P658"/>
      <c r="Q658"/>
    </row>
    <row r="659" spans="1:24" ht="5.0999999999999996" customHeight="1" x14ac:dyDescent="0.25">
      <c r="A659" s="153"/>
      <c r="B659" s="45"/>
      <c r="C659" s="45"/>
      <c r="D659" s="45"/>
      <c r="E659" s="45"/>
      <c r="F659" s="45"/>
      <c r="G659" s="45"/>
      <c r="H659" s="457"/>
      <c r="I659"/>
      <c r="J659"/>
      <c r="K659"/>
      <c r="L659"/>
      <c r="M659"/>
      <c r="N659"/>
      <c r="O659"/>
      <c r="P659"/>
      <c r="Q659"/>
    </row>
    <row r="660" spans="1:24" ht="15" customHeight="1" x14ac:dyDescent="0.25">
      <c r="A660" s="153" t="s">
        <v>295</v>
      </c>
      <c r="B660" s="45"/>
      <c r="C660" s="45"/>
      <c r="D660" s="45"/>
      <c r="E660" s="45"/>
      <c r="F660" s="45"/>
      <c r="G660" s="45"/>
      <c r="H660" s="171"/>
      <c r="I660"/>
      <c r="J660"/>
      <c r="K660"/>
      <c r="L660"/>
      <c r="M660"/>
      <c r="N660"/>
      <c r="O660"/>
      <c r="P660"/>
      <c r="Q660"/>
    </row>
    <row r="661" spans="1:24" ht="15" customHeight="1" x14ac:dyDescent="0.25">
      <c r="A661" s="153" t="s">
        <v>378</v>
      </c>
      <c r="B661" s="232" t="s">
        <v>656</v>
      </c>
      <c r="C661" s="45"/>
      <c r="D661" s="45"/>
      <c r="E661" s="45"/>
      <c r="F661" s="45"/>
      <c r="G661" s="45"/>
      <c r="H661" s="171"/>
      <c r="I661"/>
      <c r="J661"/>
      <c r="K661"/>
      <c r="L661"/>
      <c r="M661"/>
      <c r="N661"/>
      <c r="O661"/>
      <c r="P661"/>
      <c r="Q661"/>
    </row>
    <row r="662" spans="1:24" ht="15" customHeight="1" x14ac:dyDescent="0.25">
      <c r="A662" s="153"/>
      <c r="B662" s="232" t="s">
        <v>657</v>
      </c>
      <c r="C662" s="45"/>
      <c r="D662" s="45"/>
      <c r="E662" s="45"/>
      <c r="F662" s="45"/>
      <c r="G662" s="45"/>
      <c r="H662" s="171"/>
      <c r="I662"/>
      <c r="J662"/>
      <c r="K662"/>
      <c r="L662"/>
      <c r="M662"/>
      <c r="N662"/>
      <c r="O662"/>
      <c r="P662"/>
      <c r="Q662"/>
    </row>
    <row r="663" spans="1:24" ht="15" customHeight="1" x14ac:dyDescent="0.25">
      <c r="A663" s="153" t="s">
        <v>375</v>
      </c>
      <c r="B663" s="232" t="s">
        <v>658</v>
      </c>
      <c r="C663" s="45"/>
      <c r="D663" s="45"/>
      <c r="E663" s="45"/>
      <c r="F663" s="45"/>
      <c r="G663" s="45"/>
      <c r="H663" s="171"/>
      <c r="I663"/>
      <c r="J663"/>
      <c r="K663"/>
      <c r="L663"/>
      <c r="M663"/>
      <c r="N663"/>
      <c r="O663"/>
      <c r="P663"/>
      <c r="Q663"/>
    </row>
    <row r="664" spans="1:24" ht="15" customHeight="1" x14ac:dyDescent="0.25">
      <c r="A664" s="153"/>
      <c r="B664" s="232" t="s">
        <v>659</v>
      </c>
      <c r="C664" s="45"/>
      <c r="D664" s="45"/>
      <c r="E664" s="45"/>
      <c r="F664" s="45"/>
      <c r="G664" s="45"/>
      <c r="H664" s="171"/>
      <c r="I664"/>
      <c r="J664"/>
      <c r="K664"/>
      <c r="L664"/>
      <c r="M664"/>
      <c r="N664"/>
      <c r="O664"/>
      <c r="P664"/>
      <c r="Q664"/>
    </row>
    <row r="665" spans="1:24" ht="15" customHeight="1" x14ac:dyDescent="0.25">
      <c r="A665" s="153" t="s">
        <v>376</v>
      </c>
      <c r="B665" s="232" t="s">
        <v>660</v>
      </c>
      <c r="C665" s="45"/>
      <c r="D665" s="45"/>
      <c r="E665" s="45"/>
      <c r="F665" s="45"/>
      <c r="G665" s="45"/>
      <c r="H665" s="171"/>
      <c r="I665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</row>
    <row r="666" spans="1:24" ht="15" customHeight="1" x14ac:dyDescent="0.25">
      <c r="A666" s="153"/>
      <c r="B666" s="232" t="s">
        <v>661</v>
      </c>
      <c r="C666" s="45"/>
      <c r="D666" s="45"/>
      <c r="E666" s="45"/>
      <c r="F666" s="45"/>
      <c r="G666" s="45"/>
      <c r="H666" s="171"/>
      <c r="I666"/>
      <c r="J666"/>
      <c r="K666"/>
      <c r="L666"/>
      <c r="M666"/>
      <c r="N666"/>
      <c r="O666"/>
      <c r="P666"/>
      <c r="Q666"/>
      <c r="R666"/>
      <c r="S666"/>
    </row>
    <row r="667" spans="1:24" ht="15" customHeight="1" x14ac:dyDescent="0.25">
      <c r="A667" s="153" t="s">
        <v>377</v>
      </c>
      <c r="B667" s="232" t="s">
        <v>379</v>
      </c>
      <c r="C667" s="45"/>
      <c r="D667" s="45"/>
      <c r="E667" s="45"/>
      <c r="F667" s="45"/>
      <c r="G667" s="45"/>
      <c r="H667" s="171"/>
      <c r="I667"/>
      <c r="J667"/>
      <c r="K667"/>
      <c r="L667"/>
      <c r="M667"/>
      <c r="N667"/>
      <c r="O667"/>
      <c r="P667"/>
      <c r="Q667"/>
      <c r="R667"/>
      <c r="S667"/>
    </row>
    <row r="668" spans="1:24" ht="15" customHeight="1" x14ac:dyDescent="0.25">
      <c r="A668" s="153"/>
      <c r="B668" s="232"/>
      <c r="C668" s="45"/>
      <c r="D668" s="45"/>
      <c r="E668" s="45"/>
      <c r="F668" s="45"/>
      <c r="G668" s="45"/>
      <c r="H668" s="171"/>
      <c r="I668"/>
      <c r="J668"/>
      <c r="K668"/>
      <c r="L668"/>
      <c r="M668"/>
      <c r="N668"/>
      <c r="O668"/>
      <c r="P668"/>
      <c r="Q668"/>
      <c r="R668"/>
      <c r="S668"/>
    </row>
    <row r="669" spans="1:24" ht="18" customHeight="1" x14ac:dyDescent="0.25">
      <c r="A669" s="232" t="s">
        <v>1880</v>
      </c>
      <c r="B669" s="45"/>
      <c r="C669" s="45"/>
      <c r="D669" s="45"/>
      <c r="E669" s="45"/>
      <c r="F669" s="45"/>
      <c r="G669" s="45"/>
      <c r="H669" s="45"/>
      <c r="I669" s="45"/>
      <c r="J669"/>
      <c r="K669"/>
      <c r="L669"/>
      <c r="M669"/>
      <c r="N669"/>
      <c r="O669"/>
      <c r="P669"/>
      <c r="Q669"/>
      <c r="R669"/>
      <c r="S669" s="45"/>
      <c r="T669" s="45"/>
    </row>
    <row r="670" spans="1:24" ht="18" customHeight="1" x14ac:dyDescent="0.25">
      <c r="A670" s="232" t="s">
        <v>1881</v>
      </c>
      <c r="B670" s="45"/>
      <c r="C670" s="45"/>
      <c r="D670" s="45"/>
      <c r="E670" s="45"/>
      <c r="F670" s="45"/>
      <c r="G670" s="45"/>
      <c r="H670" s="45"/>
      <c r="I670" s="45"/>
      <c r="J670"/>
      <c r="K670"/>
      <c r="L670"/>
      <c r="M670"/>
      <c r="N670"/>
      <c r="O670"/>
      <c r="P670"/>
      <c r="Q670"/>
      <c r="R670"/>
      <c r="S670" s="45"/>
      <c r="T670" s="45"/>
    </row>
    <row r="671" spans="1:24" ht="18" customHeight="1" x14ac:dyDescent="0.25">
      <c r="A671" s="232"/>
      <c r="B671" s="45"/>
      <c r="C671" s="45"/>
      <c r="D671" s="45"/>
      <c r="E671" s="45"/>
      <c r="F671" s="45"/>
      <c r="G671" s="45"/>
      <c r="H671" s="45"/>
      <c r="I671" s="45"/>
      <c r="J671"/>
      <c r="K671"/>
      <c r="L671"/>
      <c r="M671"/>
      <c r="N671"/>
      <c r="O671"/>
      <c r="P671"/>
      <c r="Q671"/>
      <c r="R671"/>
      <c r="S671" s="45"/>
      <c r="T671" s="45"/>
    </row>
    <row r="672" spans="1:24" ht="18" customHeight="1" x14ac:dyDescent="0.25">
      <c r="A672" s="232" t="s">
        <v>1882</v>
      </c>
      <c r="B672" s="45"/>
      <c r="C672" s="45"/>
      <c r="D672" s="45"/>
      <c r="E672" s="45"/>
      <c r="F672" s="45"/>
      <c r="G672" s="45"/>
      <c r="H672" s="45"/>
      <c r="I672" s="45"/>
      <c r="J672"/>
      <c r="K672"/>
      <c r="L672"/>
      <c r="M672"/>
      <c r="N672"/>
      <c r="O672"/>
      <c r="P672"/>
      <c r="Q672"/>
      <c r="R672"/>
      <c r="S672"/>
      <c r="T672" s="45"/>
    </row>
    <row r="673" spans="1:20" ht="30" customHeight="1" x14ac:dyDescent="0.3">
      <c r="A673" s="384" t="s">
        <v>435</v>
      </c>
      <c r="B673" s="384" t="s">
        <v>1883</v>
      </c>
      <c r="C673" s="384" t="s">
        <v>1884</v>
      </c>
      <c r="D673" s="384" t="s">
        <v>1885</v>
      </c>
      <c r="E673" s="384" t="s">
        <v>1886</v>
      </c>
      <c r="F673" s="384" t="s">
        <v>1883</v>
      </c>
      <c r="G673" s="384" t="s">
        <v>1887</v>
      </c>
      <c r="H673" s="384" t="s">
        <v>1888</v>
      </c>
      <c r="I673" s="385" t="s">
        <v>1889</v>
      </c>
      <c r="J673"/>
      <c r="K673"/>
      <c r="L673"/>
      <c r="M673"/>
      <c r="N673"/>
      <c r="O673"/>
      <c r="P673"/>
      <c r="Q673"/>
      <c r="R673"/>
      <c r="S673"/>
      <c r="T673" s="45"/>
    </row>
    <row r="674" spans="1:20" ht="18" customHeight="1" x14ac:dyDescent="0.3">
      <c r="A674" s="384"/>
      <c r="B674" s="384"/>
      <c r="C674" s="386" t="s">
        <v>14</v>
      </c>
      <c r="D674" s="387" t="s">
        <v>417</v>
      </c>
      <c r="E674" s="388" t="s">
        <v>1890</v>
      </c>
      <c r="F674" s="404"/>
      <c r="G674" s="386" t="s">
        <v>14</v>
      </c>
      <c r="H674" s="386" t="s">
        <v>409</v>
      </c>
      <c r="I674" s="388" t="s">
        <v>1890</v>
      </c>
      <c r="J674"/>
      <c r="K674"/>
      <c r="L674"/>
      <c r="M674"/>
      <c r="N674"/>
      <c r="O674"/>
      <c r="P674"/>
      <c r="Q674"/>
      <c r="R674"/>
      <c r="S674"/>
      <c r="T674" s="45"/>
    </row>
    <row r="675" spans="1:20" ht="18" customHeight="1" x14ac:dyDescent="0.3">
      <c r="A675" s="389" t="s">
        <v>1797</v>
      </c>
      <c r="B675" s="389" t="s">
        <v>499</v>
      </c>
      <c r="C675" s="389">
        <v>10028.642900000001</v>
      </c>
      <c r="D675" s="390">
        <v>4.0502999999999997E-2</v>
      </c>
      <c r="E675" s="390">
        <v>247604.139</v>
      </c>
      <c r="F675" s="405" t="s">
        <v>500</v>
      </c>
      <c r="G675" s="390">
        <v>10741.533600000001</v>
      </c>
      <c r="H675" s="390">
        <v>2.1669000000000001E-2</v>
      </c>
      <c r="I675" s="390">
        <v>495698.86700000003</v>
      </c>
      <c r="J675"/>
      <c r="K675"/>
      <c r="L675"/>
      <c r="M675"/>
      <c r="N675"/>
      <c r="O675"/>
      <c r="P675"/>
      <c r="Q675"/>
      <c r="R675"/>
      <c r="S675"/>
      <c r="T675" s="45"/>
    </row>
    <row r="676" spans="1:20" ht="18" customHeight="1" x14ac:dyDescent="0.3">
      <c r="A676" s="389" t="s">
        <v>1798</v>
      </c>
      <c r="B676" s="389" t="s">
        <v>499</v>
      </c>
      <c r="C676" s="389">
        <v>19420.850600000002</v>
      </c>
      <c r="D676" s="390">
        <v>4.0715000000000001E-2</v>
      </c>
      <c r="E676" s="390">
        <v>477000.78499999997</v>
      </c>
      <c r="F676" s="405" t="s">
        <v>500</v>
      </c>
      <c r="G676" s="390">
        <v>20865.2166</v>
      </c>
      <c r="H676" s="390">
        <v>2.1829000000000001E-2</v>
      </c>
      <c r="I676" s="390">
        <v>955851.022</v>
      </c>
      <c r="J676"/>
      <c r="K676"/>
      <c r="L676"/>
      <c r="M676"/>
      <c r="N676"/>
      <c r="O676"/>
      <c r="P676"/>
      <c r="Q676"/>
      <c r="R676"/>
      <c r="S676"/>
      <c r="T676" s="45"/>
    </row>
    <row r="677" spans="1:20" ht="18" customHeight="1" x14ac:dyDescent="0.3">
      <c r="A677" s="389" t="s">
        <v>1799</v>
      </c>
      <c r="B677" s="389" t="s">
        <v>499</v>
      </c>
      <c r="C677" s="389">
        <v>28234.911100000001</v>
      </c>
      <c r="D677" s="390">
        <v>4.0735E-2</v>
      </c>
      <c r="E677" s="390">
        <v>693143.94700000004</v>
      </c>
      <c r="F677" s="405" t="s">
        <v>500</v>
      </c>
      <c r="G677" s="390">
        <v>30430.182000000001</v>
      </c>
      <c r="H677" s="390">
        <v>2.1885000000000002E-2</v>
      </c>
      <c r="I677" s="390">
        <v>1390487.9539999999</v>
      </c>
      <c r="J677"/>
      <c r="K677"/>
      <c r="L677"/>
      <c r="M677"/>
      <c r="N677"/>
      <c r="O677"/>
      <c r="P677"/>
      <c r="Q677"/>
      <c r="R677"/>
      <c r="S677"/>
      <c r="T677" s="45"/>
    </row>
    <row r="678" spans="1:20" ht="18" customHeight="1" x14ac:dyDescent="0.3">
      <c r="A678" s="389" t="s">
        <v>1800</v>
      </c>
      <c r="B678" s="389" t="s">
        <v>499</v>
      </c>
      <c r="C678" s="389">
        <v>36300.178800000002</v>
      </c>
      <c r="D678" s="390">
        <v>4.0403000000000001E-2</v>
      </c>
      <c r="E678" s="390">
        <v>898461.78300000005</v>
      </c>
      <c r="F678" s="405" t="s">
        <v>500</v>
      </c>
      <c r="G678" s="390">
        <v>39246.358</v>
      </c>
      <c r="H678" s="390">
        <v>2.1753000000000002E-2</v>
      </c>
      <c r="I678" s="390">
        <v>1804169.649</v>
      </c>
      <c r="J678"/>
      <c r="K678"/>
      <c r="L678"/>
      <c r="M678"/>
      <c r="N678"/>
      <c r="O678"/>
      <c r="P678"/>
      <c r="Q678"/>
      <c r="R678"/>
      <c r="S678"/>
      <c r="T678" s="45"/>
    </row>
    <row r="679" spans="1:20" ht="18" customHeight="1" x14ac:dyDescent="0.3">
      <c r="A679" s="389" t="s">
        <v>1801</v>
      </c>
      <c r="B679" s="389" t="s">
        <v>499</v>
      </c>
      <c r="C679" s="389">
        <v>43627.981800000001</v>
      </c>
      <c r="D679" s="390">
        <v>3.9566999999999998E-2</v>
      </c>
      <c r="E679" s="390">
        <v>1102626.382</v>
      </c>
      <c r="F679" s="405" t="s">
        <v>500</v>
      </c>
      <c r="G679" s="390">
        <v>47319.4879</v>
      </c>
      <c r="H679" s="390">
        <v>2.1364000000000001E-2</v>
      </c>
      <c r="I679" s="390">
        <v>2214942.3629999999</v>
      </c>
      <c r="J679"/>
      <c r="K679"/>
      <c r="L679"/>
      <c r="M679"/>
      <c r="N679"/>
      <c r="O679"/>
      <c r="P679"/>
      <c r="Q679"/>
      <c r="R679"/>
      <c r="S679"/>
      <c r="T679" s="45"/>
    </row>
    <row r="680" spans="1:20" ht="18" customHeight="1" x14ac:dyDescent="0.3">
      <c r="A680" s="389" t="s">
        <v>1802</v>
      </c>
      <c r="B680" s="389" t="s">
        <v>499</v>
      </c>
      <c r="C680" s="389">
        <v>50230.400199999996</v>
      </c>
      <c r="D680" s="390">
        <v>3.8054999999999999E-2</v>
      </c>
      <c r="E680" s="390">
        <v>1319945.922</v>
      </c>
      <c r="F680" s="405" t="s">
        <v>500</v>
      </c>
      <c r="G680" s="390">
        <v>54655.744500000001</v>
      </c>
      <c r="H680" s="390">
        <v>2.0645E-2</v>
      </c>
      <c r="I680" s="390">
        <v>2647355.5150000001</v>
      </c>
      <c r="J680"/>
      <c r="K680"/>
      <c r="L680"/>
      <c r="M680"/>
      <c r="N680"/>
      <c r="O680"/>
      <c r="P680"/>
      <c r="Q680"/>
      <c r="R680"/>
      <c r="S680"/>
      <c r="T680" s="45"/>
    </row>
    <row r="681" spans="1:20" ht="18" customHeight="1" x14ac:dyDescent="0.3">
      <c r="A681" s="389" t="s">
        <v>1803</v>
      </c>
      <c r="B681" s="389" t="s">
        <v>499</v>
      </c>
      <c r="C681" s="389">
        <v>56394.185899999997</v>
      </c>
      <c r="D681" s="390">
        <v>3.5848999999999999E-2</v>
      </c>
      <c r="E681" s="390">
        <v>1573116.1610000001</v>
      </c>
      <c r="F681" s="405" t="s">
        <v>500</v>
      </c>
      <c r="G681" s="390">
        <v>61568.883199999997</v>
      </c>
      <c r="H681" s="390">
        <v>1.9459000000000001E-2</v>
      </c>
      <c r="I681" s="390">
        <v>3163999.3939999999</v>
      </c>
      <c r="J681"/>
      <c r="K681"/>
      <c r="L681"/>
      <c r="M681"/>
      <c r="N681"/>
      <c r="O681"/>
      <c r="P681"/>
      <c r="Q681"/>
      <c r="R681"/>
      <c r="S681"/>
      <c r="T681" s="45"/>
    </row>
    <row r="682" spans="1:20" ht="18" customHeight="1" x14ac:dyDescent="0.3">
      <c r="A682" s="389" t="s">
        <v>1804</v>
      </c>
      <c r="B682" s="389" t="s">
        <v>499</v>
      </c>
      <c r="C682" s="389">
        <v>62068.388899999998</v>
      </c>
      <c r="D682" s="390">
        <v>3.4042000000000003E-2</v>
      </c>
      <c r="E682" s="390">
        <v>1823264.25</v>
      </c>
      <c r="F682" s="405" t="s">
        <v>500</v>
      </c>
      <c r="G682" s="390">
        <v>67998.972399999999</v>
      </c>
      <c r="H682" s="390">
        <v>1.8485999999999999E-2</v>
      </c>
      <c r="I682" s="390">
        <v>3678443.66</v>
      </c>
      <c r="J682"/>
      <c r="K682"/>
      <c r="L682"/>
      <c r="M682"/>
      <c r="N682"/>
      <c r="O682"/>
      <c r="P682"/>
      <c r="Q682"/>
      <c r="R682"/>
      <c r="S682"/>
      <c r="T682" s="45"/>
    </row>
    <row r="683" spans="1:20" ht="18" customHeight="1" x14ac:dyDescent="0.3">
      <c r="A683" s="389" t="s">
        <v>1805</v>
      </c>
      <c r="B683" s="389" t="s">
        <v>499</v>
      </c>
      <c r="C683" s="389">
        <v>66995.8606</v>
      </c>
      <c r="D683" s="390">
        <v>3.1764000000000001E-2</v>
      </c>
      <c r="E683" s="390">
        <v>2109164.2749999999</v>
      </c>
      <c r="F683" s="405" t="s">
        <v>500</v>
      </c>
      <c r="G683" s="390">
        <v>73647.681500000006</v>
      </c>
      <c r="H683" s="390">
        <v>1.7260999999999999E-2</v>
      </c>
      <c r="I683" s="390">
        <v>4266599.5860000001</v>
      </c>
      <c r="J683"/>
      <c r="K683"/>
      <c r="L683"/>
      <c r="M683"/>
      <c r="N683"/>
      <c r="O683"/>
      <c r="P683"/>
      <c r="Q683"/>
      <c r="R683"/>
      <c r="S683"/>
      <c r="T683" s="45"/>
    </row>
    <row r="684" spans="1:20" ht="18" customHeight="1" x14ac:dyDescent="0.3">
      <c r="A684" s="389" t="s">
        <v>1806</v>
      </c>
      <c r="B684" s="389" t="s">
        <v>499</v>
      </c>
      <c r="C684" s="389">
        <v>71194.899000000005</v>
      </c>
      <c r="D684" s="390">
        <v>2.8913999999999999E-2</v>
      </c>
      <c r="E684" s="390">
        <v>2462324.077</v>
      </c>
      <c r="F684" s="405" t="s">
        <v>500</v>
      </c>
      <c r="G684" s="390">
        <v>78524.741200000004</v>
      </c>
      <c r="H684" s="390">
        <v>1.5729E-2</v>
      </c>
      <c r="I684" s="390">
        <v>4992472.8779999996</v>
      </c>
      <c r="J684"/>
      <c r="K684"/>
      <c r="L684"/>
      <c r="M684"/>
      <c r="N684"/>
      <c r="O684"/>
      <c r="P684"/>
      <c r="Q684"/>
      <c r="R684"/>
      <c r="S684"/>
      <c r="T684" s="45"/>
    </row>
    <row r="685" spans="1:20" ht="18" customHeight="1" x14ac:dyDescent="0.3">
      <c r="A685" s="389" t="s">
        <v>1807</v>
      </c>
      <c r="B685" s="389" t="s">
        <v>499</v>
      </c>
      <c r="C685" s="389">
        <v>74685.881099999999</v>
      </c>
      <c r="D685" s="390">
        <v>2.5423999999999999E-2</v>
      </c>
      <c r="E685" s="390">
        <v>2937563.1510000001</v>
      </c>
      <c r="F685" s="405" t="s">
        <v>500</v>
      </c>
      <c r="G685" s="390">
        <v>82641.132100000003</v>
      </c>
      <c r="H685" s="390">
        <v>1.3837E-2</v>
      </c>
      <c r="I685" s="390">
        <v>5972552.426</v>
      </c>
      <c r="J685"/>
      <c r="K685"/>
      <c r="L685"/>
      <c r="M685"/>
      <c r="N685"/>
      <c r="O685"/>
      <c r="P685"/>
      <c r="Q685"/>
      <c r="R685"/>
      <c r="S685"/>
      <c r="T685" s="45"/>
    </row>
    <row r="686" spans="1:20" ht="18" customHeight="1" x14ac:dyDescent="0.3">
      <c r="A686" s="389" t="s">
        <v>1808</v>
      </c>
      <c r="B686" s="389" t="s">
        <v>499</v>
      </c>
      <c r="C686" s="389">
        <v>77632.080400000006</v>
      </c>
      <c r="D686" s="390">
        <v>2.1572999999999998E-2</v>
      </c>
      <c r="E686" s="390">
        <v>3598653.5690000001</v>
      </c>
      <c r="F686" s="405" t="s">
        <v>500</v>
      </c>
      <c r="G686" s="390">
        <v>86177.772200000007</v>
      </c>
      <c r="H686" s="390">
        <v>1.1606999999999999E-2</v>
      </c>
      <c r="I686" s="390">
        <v>7424852.3320000004</v>
      </c>
      <c r="J686"/>
      <c r="K686"/>
      <c r="L686"/>
      <c r="M686"/>
      <c r="N686"/>
      <c r="O686"/>
      <c r="P686"/>
      <c r="Q686"/>
      <c r="R686"/>
      <c r="S686"/>
      <c r="T686" s="45"/>
    </row>
    <row r="687" spans="1:20" ht="18" customHeight="1" x14ac:dyDescent="0.3">
      <c r="A687" s="391" t="s">
        <v>1809</v>
      </c>
      <c r="B687" s="391" t="s">
        <v>499</v>
      </c>
      <c r="C687" s="392">
        <v>79991.466899999999</v>
      </c>
      <c r="D687" s="392">
        <v>1.7866E-2</v>
      </c>
      <c r="E687" s="391">
        <v>4477294.6339999996</v>
      </c>
      <c r="F687" s="405" t="s">
        <v>500</v>
      </c>
      <c r="G687" s="392">
        <v>89072.615399999995</v>
      </c>
      <c r="H687" s="391">
        <v>9.6220000000000003E-3</v>
      </c>
      <c r="I687" s="392">
        <v>9256939.9079999998</v>
      </c>
      <c r="J687"/>
      <c r="K687"/>
      <c r="L687"/>
      <c r="M687"/>
      <c r="N687"/>
      <c r="O687"/>
      <c r="P687"/>
      <c r="Q687"/>
      <c r="R687"/>
      <c r="S687"/>
      <c r="T687" s="45"/>
    </row>
    <row r="688" spans="1:20" ht="18" customHeight="1" x14ac:dyDescent="0.3">
      <c r="A688" s="391" t="s">
        <v>1810</v>
      </c>
      <c r="B688" s="391" t="s">
        <v>499</v>
      </c>
      <c r="C688" s="391">
        <v>81641.580600000001</v>
      </c>
      <c r="D688" s="391">
        <v>1.3609E-2</v>
      </c>
      <c r="E688" s="391">
        <v>5999021.6619999995</v>
      </c>
      <c r="F688" s="405" t="s">
        <v>500</v>
      </c>
      <c r="G688" s="391">
        <v>91155.109899999996</v>
      </c>
      <c r="H688" s="391">
        <v>7.3379999999999999E-3</v>
      </c>
      <c r="I688" s="391">
        <v>12421666.967</v>
      </c>
      <c r="J688"/>
      <c r="K688"/>
      <c r="L688"/>
      <c r="M688"/>
      <c r="N688"/>
      <c r="O688"/>
      <c r="P688"/>
      <c r="Q688"/>
      <c r="R688"/>
      <c r="S688"/>
      <c r="T688" s="45"/>
    </row>
    <row r="689" spans="1:20" ht="18" customHeight="1" x14ac:dyDescent="0.3">
      <c r="A689" s="391" t="s">
        <v>1811</v>
      </c>
      <c r="B689" s="391" t="s">
        <v>499</v>
      </c>
      <c r="C689" s="391">
        <v>82651.993300000002</v>
      </c>
      <c r="D689" s="391">
        <v>8.9409999999999993E-3</v>
      </c>
      <c r="E689" s="391">
        <v>9243959.9570000004</v>
      </c>
      <c r="F689" s="405" t="s">
        <v>500</v>
      </c>
      <c r="G689" s="391">
        <v>92481.9715</v>
      </c>
      <c r="H689" s="391">
        <v>4.6189999999999998E-3</v>
      </c>
      <c r="I689" s="391">
        <v>20024203.219000001</v>
      </c>
      <c r="J689"/>
      <c r="K689"/>
      <c r="L689"/>
      <c r="M689"/>
      <c r="N689"/>
      <c r="O689"/>
      <c r="P689"/>
      <c r="Q689"/>
      <c r="R689"/>
      <c r="S689"/>
      <c r="T689" s="45"/>
    </row>
    <row r="690" spans="1:20" ht="18" customHeight="1" x14ac:dyDescent="0.3">
      <c r="A690" s="391" t="s">
        <v>1812</v>
      </c>
      <c r="B690" s="391" t="s">
        <v>499</v>
      </c>
      <c r="C690" s="391">
        <v>83111.945800000001</v>
      </c>
      <c r="D690" s="391">
        <v>2.3540000000000002E-3</v>
      </c>
      <c r="E690" s="391">
        <v>35308918.550999999</v>
      </c>
      <c r="F690" s="405" t="s">
        <v>500</v>
      </c>
      <c r="G690" s="391">
        <v>93128.430200000003</v>
      </c>
      <c r="H690" s="391">
        <v>1.6590000000000001E-3</v>
      </c>
      <c r="I690" s="391">
        <v>56125548.478</v>
      </c>
      <c r="J690"/>
      <c r="K690"/>
      <c r="L690"/>
      <c r="M690"/>
      <c r="N690"/>
      <c r="O690"/>
      <c r="P690"/>
      <c r="Q690"/>
      <c r="R690"/>
      <c r="S690"/>
      <c r="T690" s="45"/>
    </row>
    <row r="691" spans="1:20" ht="18" customHeight="1" x14ac:dyDescent="0.3">
      <c r="A691" s="391"/>
      <c r="B691" s="391"/>
      <c r="C691" s="391"/>
      <c r="D691" s="391"/>
      <c r="E691" s="391"/>
      <c r="F691" s="406"/>
      <c r="G691" s="391"/>
      <c r="H691" s="391"/>
      <c r="I691" s="391"/>
      <c r="J691"/>
      <c r="K691"/>
      <c r="L691"/>
      <c r="M691"/>
      <c r="N691"/>
      <c r="O691"/>
      <c r="P691"/>
      <c r="Q691"/>
      <c r="R691"/>
      <c r="S691"/>
      <c r="T691" s="45"/>
    </row>
    <row r="692" spans="1:20" ht="18" customHeight="1" x14ac:dyDescent="0.3">
      <c r="A692" s="391"/>
      <c r="B692" s="391"/>
      <c r="C692" s="391"/>
      <c r="D692" s="391"/>
      <c r="E692" s="391"/>
      <c r="F692" s="406"/>
      <c r="G692" s="391"/>
      <c r="H692" s="391"/>
      <c r="I692" s="391"/>
      <c r="J692"/>
      <c r="K692"/>
      <c r="L692"/>
      <c r="M692"/>
      <c r="N692"/>
      <c r="O692"/>
      <c r="P692"/>
      <c r="Q692"/>
      <c r="R692"/>
      <c r="S692"/>
      <c r="T692" s="45"/>
    </row>
    <row r="693" spans="1:20" ht="18" customHeight="1" x14ac:dyDescent="0.3">
      <c r="A693" s="391"/>
      <c r="B693" s="391"/>
      <c r="C693" s="391"/>
      <c r="D693" s="391"/>
      <c r="E693" s="391"/>
      <c r="F693" s="406"/>
      <c r="G693" s="391"/>
      <c r="H693" s="391"/>
      <c r="I693" s="391"/>
      <c r="J693"/>
      <c r="K693"/>
      <c r="L693"/>
      <c r="M693"/>
      <c r="N693"/>
      <c r="O693"/>
      <c r="P693"/>
      <c r="Q693"/>
      <c r="R693"/>
      <c r="S693"/>
      <c r="T693" s="45"/>
    </row>
    <row r="694" spans="1:20" ht="18" customHeight="1" x14ac:dyDescent="0.3">
      <c r="A694" s="391"/>
      <c r="B694" s="391"/>
      <c r="C694" s="391"/>
      <c r="D694" s="391"/>
      <c r="E694" s="391"/>
      <c r="F694" s="406"/>
      <c r="G694" s="391"/>
      <c r="H694" s="391"/>
      <c r="I694" s="391"/>
      <c r="J694"/>
      <c r="K694"/>
      <c r="L694"/>
      <c r="M694"/>
      <c r="N694"/>
      <c r="O694"/>
      <c r="P694"/>
      <c r="Q694"/>
      <c r="R694"/>
      <c r="S694"/>
      <c r="T694" s="45"/>
    </row>
    <row r="695" spans="1:20" ht="18" customHeight="1" x14ac:dyDescent="0.3">
      <c r="A695" s="391"/>
      <c r="B695" s="391"/>
      <c r="C695" s="391"/>
      <c r="D695" s="391"/>
      <c r="E695" s="391"/>
      <c r="F695" s="406"/>
      <c r="G695" s="391"/>
      <c r="H695" s="391"/>
      <c r="I695" s="391"/>
      <c r="J695"/>
      <c r="K695"/>
      <c r="L695"/>
      <c r="M695"/>
      <c r="N695"/>
      <c r="O695"/>
      <c r="P695"/>
      <c r="Q695"/>
      <c r="R695"/>
      <c r="S695"/>
      <c r="T695" s="45"/>
    </row>
    <row r="696" spans="1:20" ht="18" customHeight="1" x14ac:dyDescent="0.3">
      <c r="A696" s="391"/>
      <c r="B696" s="391"/>
      <c r="C696" s="391"/>
      <c r="D696" s="391"/>
      <c r="E696" s="391"/>
      <c r="F696" s="406"/>
      <c r="G696" s="391"/>
      <c r="H696" s="391"/>
      <c r="I696" s="391"/>
      <c r="J696"/>
      <c r="K696"/>
      <c r="L696"/>
      <c r="M696"/>
      <c r="N696"/>
      <c r="O696"/>
      <c r="P696"/>
      <c r="Q696"/>
      <c r="R696"/>
      <c r="S696"/>
      <c r="T696" s="45"/>
    </row>
    <row r="697" spans="1:20" ht="18" customHeight="1" x14ac:dyDescent="0.3">
      <c r="A697" s="391"/>
      <c r="B697" s="391"/>
      <c r="C697" s="391"/>
      <c r="D697" s="391"/>
      <c r="E697" s="391"/>
      <c r="F697" s="406"/>
      <c r="G697" s="391"/>
      <c r="H697" s="391"/>
      <c r="I697" s="391"/>
      <c r="J697"/>
      <c r="K697"/>
      <c r="L697"/>
      <c r="M697"/>
      <c r="N697"/>
      <c r="O697"/>
      <c r="P697"/>
      <c r="Q697"/>
      <c r="R697"/>
      <c r="S697"/>
      <c r="T697" s="45"/>
    </row>
    <row r="698" spans="1:20" ht="18" customHeight="1" x14ac:dyDescent="0.3">
      <c r="A698" s="391"/>
      <c r="B698" s="391"/>
      <c r="C698" s="391"/>
      <c r="D698" s="391"/>
      <c r="E698" s="391"/>
      <c r="F698" s="406"/>
      <c r="G698" s="391"/>
      <c r="H698" s="391"/>
      <c r="I698" s="391"/>
      <c r="J698"/>
      <c r="K698"/>
      <c r="L698"/>
      <c r="M698"/>
      <c r="N698"/>
      <c r="O698"/>
      <c r="P698"/>
      <c r="Q698"/>
      <c r="R698"/>
      <c r="S698"/>
      <c r="T698" s="45"/>
    </row>
    <row r="699" spans="1:20" ht="18" customHeight="1" x14ac:dyDescent="0.3">
      <c r="A699" s="391"/>
      <c r="B699" s="391"/>
      <c r="C699" s="391"/>
      <c r="D699" s="391"/>
      <c r="E699" s="391"/>
      <c r="F699" s="406"/>
      <c r="G699" s="391"/>
      <c r="H699" s="391"/>
      <c r="I699" s="391"/>
      <c r="J699"/>
      <c r="K699"/>
      <c r="L699"/>
      <c r="M699"/>
      <c r="N699"/>
      <c r="O699"/>
      <c r="P699"/>
      <c r="Q699"/>
      <c r="R699"/>
      <c r="S699"/>
      <c r="T699" s="45"/>
    </row>
    <row r="700" spans="1:20" ht="18" customHeight="1" x14ac:dyDescent="0.3">
      <c r="A700" s="391"/>
      <c r="B700" s="391"/>
      <c r="C700" s="391"/>
      <c r="D700" s="391"/>
      <c r="E700" s="391"/>
      <c r="F700" s="406"/>
      <c r="G700" s="391"/>
      <c r="H700" s="391"/>
      <c r="I700" s="391"/>
      <c r="J700"/>
      <c r="K700"/>
      <c r="L700"/>
      <c r="M700"/>
      <c r="N700"/>
      <c r="O700"/>
      <c r="P700"/>
      <c r="Q700"/>
      <c r="R700"/>
      <c r="S700"/>
      <c r="T700" s="45"/>
    </row>
    <row r="701" spans="1:20" ht="18" customHeight="1" x14ac:dyDescent="0.3">
      <c r="A701" s="407"/>
      <c r="B701" s="407"/>
      <c r="C701" s="407"/>
      <c r="D701" s="407"/>
      <c r="E701" s="407"/>
      <c r="F701" s="407"/>
      <c r="G701" s="407"/>
      <c r="H701" s="407"/>
      <c r="I701" s="407"/>
      <c r="J701" s="62"/>
      <c r="K701" s="62"/>
      <c r="L701" s="62"/>
      <c r="M701" s="62"/>
      <c r="N701"/>
      <c r="O701"/>
      <c r="P701"/>
      <c r="Q701"/>
      <c r="R701"/>
      <c r="S701"/>
      <c r="T701" s="45"/>
    </row>
    <row r="702" spans="1:20" ht="18" customHeight="1" x14ac:dyDescent="0.3">
      <c r="B702" s="393"/>
      <c r="C702" s="393"/>
      <c r="D702" s="393"/>
      <c r="E702" s="393"/>
      <c r="F702" s="393"/>
      <c r="G702" s="393"/>
      <c r="H702" s="393"/>
      <c r="I702" s="415" t="s">
        <v>1910</v>
      </c>
      <c r="J702"/>
      <c r="K702"/>
      <c r="L702"/>
      <c r="M702"/>
      <c r="N702"/>
      <c r="O702"/>
      <c r="P702"/>
      <c r="Q702"/>
      <c r="R702"/>
      <c r="S702"/>
      <c r="T702" s="45"/>
    </row>
    <row r="703" spans="1:20" ht="18" customHeight="1" x14ac:dyDescent="0.3">
      <c r="A703" s="386" t="s">
        <v>1891</v>
      </c>
      <c r="B703" s="386" t="s">
        <v>1892</v>
      </c>
      <c r="C703" s="386" t="s">
        <v>1893</v>
      </c>
      <c r="D703" s="386" t="s">
        <v>1894</v>
      </c>
      <c r="E703" s="47"/>
      <c r="F703" s="47"/>
      <c r="G703" s="47"/>
      <c r="H703" s="47"/>
      <c r="I703" s="47"/>
      <c r="J703"/>
      <c r="K703"/>
      <c r="L703"/>
      <c r="M703"/>
      <c r="N703"/>
      <c r="O703"/>
      <c r="P703"/>
      <c r="Q703"/>
      <c r="R703"/>
      <c r="S703" s="45"/>
      <c r="T703" s="45"/>
    </row>
    <row r="704" spans="1:20" ht="18" customHeight="1" x14ac:dyDescent="0.3">
      <c r="A704" s="386"/>
      <c r="B704" s="386"/>
      <c r="C704" s="386" t="s">
        <v>409</v>
      </c>
      <c r="D704" s="387" t="s">
        <v>409</v>
      </c>
      <c r="E704" s="47"/>
      <c r="F704" s="47"/>
      <c r="G704" s="47"/>
      <c r="H704" s="47"/>
      <c r="I704" s="47"/>
      <c r="J704"/>
      <c r="K704"/>
      <c r="L704"/>
      <c r="M704"/>
      <c r="N704"/>
      <c r="O704"/>
      <c r="P704"/>
      <c r="Q704"/>
      <c r="R704"/>
      <c r="S704" s="45"/>
      <c r="T704" s="45"/>
    </row>
    <row r="705" spans="1:20" ht="18" customHeight="1" x14ac:dyDescent="0.3">
      <c r="A705" s="389" t="s">
        <v>1797</v>
      </c>
      <c r="B705" s="225">
        <v>-10028.642900000001</v>
      </c>
      <c r="C705" s="394">
        <f>+D705-D706</f>
        <v>2.5200000000000031</v>
      </c>
      <c r="D705" s="395">
        <v>37.80000000000009</v>
      </c>
      <c r="E705" s="47"/>
      <c r="F705" s="47"/>
      <c r="G705" s="47"/>
      <c r="H705" s="47"/>
      <c r="I705" s="47"/>
      <c r="J705"/>
      <c r="K705"/>
      <c r="L705"/>
      <c r="M705"/>
      <c r="N705"/>
      <c r="O705"/>
      <c r="P705"/>
      <c r="Q705"/>
      <c r="R705"/>
      <c r="S705" s="45"/>
      <c r="T705" s="45"/>
    </row>
    <row r="706" spans="1:20" ht="18" customHeight="1" x14ac:dyDescent="0.3">
      <c r="A706" s="389" t="s">
        <v>1798</v>
      </c>
      <c r="B706" s="225">
        <v>-19420.850600000002</v>
      </c>
      <c r="C706" s="394">
        <f t="shared" ref="C706:C720" si="4">+D706-D707</f>
        <v>2.5200000000000955</v>
      </c>
      <c r="D706" s="395">
        <v>35.280000000000086</v>
      </c>
      <c r="E706" s="47"/>
      <c r="F706" s="47"/>
      <c r="G706" s="47"/>
      <c r="H706" s="47"/>
      <c r="I706" s="47"/>
      <c r="J706"/>
      <c r="K706"/>
      <c r="L706"/>
      <c r="M706"/>
      <c r="N706"/>
      <c r="O706"/>
      <c r="P706"/>
      <c r="Q706"/>
      <c r="R706"/>
      <c r="S706" s="45"/>
      <c r="T706" s="45"/>
    </row>
    <row r="707" spans="1:20" ht="18" customHeight="1" x14ac:dyDescent="0.3">
      <c r="A707" s="389" t="s">
        <v>1799</v>
      </c>
      <c r="B707" s="225">
        <v>-28234.911100000001</v>
      </c>
      <c r="C707" s="394">
        <f t="shared" si="4"/>
        <v>2.5199999999999037</v>
      </c>
      <c r="D707" s="395">
        <v>32.759999999999991</v>
      </c>
      <c r="E707" s="47"/>
      <c r="F707" s="47"/>
      <c r="G707" s="47"/>
      <c r="H707" s="47"/>
      <c r="I707" s="47"/>
      <c r="J707"/>
      <c r="K707"/>
      <c r="L707"/>
      <c r="M707"/>
      <c r="N707"/>
      <c r="O707"/>
      <c r="P707"/>
      <c r="Q707"/>
      <c r="R707"/>
      <c r="S707" s="45"/>
      <c r="T707" s="45"/>
    </row>
    <row r="708" spans="1:20" ht="18" customHeight="1" x14ac:dyDescent="0.3">
      <c r="A708" s="389" t="s">
        <v>1800</v>
      </c>
      <c r="B708" s="225">
        <v>-36300.178800000002</v>
      </c>
      <c r="C708" s="394">
        <f t="shared" si="4"/>
        <v>2.5199999999999996</v>
      </c>
      <c r="D708" s="395">
        <v>30.240000000000087</v>
      </c>
      <c r="E708" s="47"/>
      <c r="F708" s="47"/>
      <c r="G708" s="47"/>
      <c r="H708" s="47"/>
      <c r="I708" s="47"/>
      <c r="J708"/>
      <c r="K708"/>
      <c r="L708"/>
      <c r="M708"/>
      <c r="N708"/>
      <c r="O708"/>
      <c r="P708"/>
      <c r="Q708"/>
      <c r="R708"/>
      <c r="S708" s="45"/>
      <c r="T708" s="45"/>
    </row>
    <row r="709" spans="1:20" ht="18" customHeight="1" x14ac:dyDescent="0.3">
      <c r="A709" s="389" t="s">
        <v>1801</v>
      </c>
      <c r="B709" s="225">
        <v>-43627.981800000001</v>
      </c>
      <c r="C709" s="394">
        <f t="shared" si="4"/>
        <v>2.5199999999999996</v>
      </c>
      <c r="D709" s="395">
        <v>27.720000000000088</v>
      </c>
      <c r="E709" s="47"/>
      <c r="F709" s="47"/>
      <c r="G709" s="47"/>
      <c r="H709" s="47"/>
      <c r="I709" s="47"/>
      <c r="J709"/>
      <c r="K709"/>
      <c r="L709"/>
      <c r="M709"/>
      <c r="N709"/>
      <c r="O709"/>
      <c r="P709"/>
      <c r="Q709"/>
      <c r="R709"/>
      <c r="S709" s="45"/>
      <c r="T709" s="45"/>
    </row>
    <row r="710" spans="1:20" ht="18" customHeight="1" x14ac:dyDescent="0.3">
      <c r="A710" s="389" t="s">
        <v>1802</v>
      </c>
      <c r="B710" s="225">
        <v>-50230.400199999996</v>
      </c>
      <c r="C710" s="394">
        <f t="shared" si="4"/>
        <v>2.519999999999996</v>
      </c>
      <c r="D710" s="395">
        <v>25.200000000000088</v>
      </c>
      <c r="E710" s="47"/>
      <c r="F710" s="47"/>
      <c r="G710" s="47"/>
      <c r="H710" s="47"/>
      <c r="I710" s="47"/>
      <c r="J710"/>
      <c r="K710"/>
      <c r="L710"/>
      <c r="M710"/>
      <c r="N710"/>
      <c r="O710"/>
      <c r="P710"/>
      <c r="Q710"/>
      <c r="R710"/>
      <c r="S710" s="45"/>
      <c r="T710" s="45"/>
    </row>
    <row r="711" spans="1:20" ht="18" customHeight="1" x14ac:dyDescent="0.3">
      <c r="A711" s="389" t="s">
        <v>1803</v>
      </c>
      <c r="B711" s="225">
        <v>-56394.185899999997</v>
      </c>
      <c r="C711" s="394">
        <f t="shared" si="4"/>
        <v>2.5199999999999996</v>
      </c>
      <c r="D711" s="395">
        <v>22.680000000000092</v>
      </c>
      <c r="E711" s="47"/>
      <c r="F711" s="47"/>
      <c r="G711" s="47"/>
      <c r="H711" s="47"/>
      <c r="I711" s="47"/>
      <c r="J711"/>
      <c r="K711"/>
      <c r="L711"/>
      <c r="M711"/>
      <c r="N711"/>
      <c r="O711"/>
      <c r="P711"/>
      <c r="Q711"/>
      <c r="R711"/>
      <c r="S711" s="45"/>
      <c r="T711" s="45"/>
    </row>
    <row r="712" spans="1:20" ht="18" customHeight="1" x14ac:dyDescent="0.3">
      <c r="A712" s="389" t="s">
        <v>1804</v>
      </c>
      <c r="B712" s="225">
        <v>-62068.388899999998</v>
      </c>
      <c r="C712" s="394">
        <f t="shared" si="4"/>
        <v>2.5199999999999996</v>
      </c>
      <c r="D712" s="395">
        <v>20.160000000000093</v>
      </c>
      <c r="E712" s="47"/>
      <c r="F712" s="47"/>
      <c r="G712" s="47"/>
      <c r="H712" s="47"/>
      <c r="I712" s="47"/>
      <c r="J712"/>
      <c r="K712"/>
      <c r="L712"/>
      <c r="M712"/>
      <c r="N712"/>
      <c r="O712"/>
      <c r="P712"/>
      <c r="Q712"/>
      <c r="R712"/>
      <c r="S712" s="45"/>
      <c r="T712" s="45"/>
    </row>
    <row r="713" spans="1:20" ht="18" customHeight="1" x14ac:dyDescent="0.3">
      <c r="A713" s="389" t="s">
        <v>1805</v>
      </c>
      <c r="B713" s="225">
        <v>-66995.8606</v>
      </c>
      <c r="C713" s="394">
        <f t="shared" si="4"/>
        <v>2.5200000000000014</v>
      </c>
      <c r="D713" s="395">
        <v>17.640000000000093</v>
      </c>
      <c r="E713" s="47"/>
      <c r="F713" s="47"/>
      <c r="G713" s="47"/>
      <c r="H713" s="47"/>
      <c r="I713" s="47"/>
      <c r="J713"/>
      <c r="K713"/>
      <c r="L713"/>
      <c r="M713"/>
      <c r="N713"/>
      <c r="O713"/>
      <c r="P713"/>
      <c r="Q713"/>
      <c r="R713"/>
      <c r="S713" s="45"/>
      <c r="T713" s="45"/>
    </row>
    <row r="714" spans="1:20" ht="18" customHeight="1" x14ac:dyDescent="0.3">
      <c r="A714" s="389" t="s">
        <v>1806</v>
      </c>
      <c r="B714" s="225">
        <v>-71194.899000000005</v>
      </c>
      <c r="C714" s="394">
        <f t="shared" si="4"/>
        <v>2.5199999999999996</v>
      </c>
      <c r="D714" s="395">
        <v>15.120000000000092</v>
      </c>
      <c r="E714" s="47"/>
      <c r="F714" s="47"/>
      <c r="G714" s="47"/>
      <c r="H714" s="47"/>
      <c r="I714" s="47"/>
      <c r="J714"/>
      <c r="K714"/>
      <c r="L714"/>
      <c r="M714"/>
      <c r="N714"/>
      <c r="O714"/>
      <c r="P714"/>
      <c r="Q714"/>
      <c r="R714"/>
      <c r="S714" s="45"/>
      <c r="T714" s="45"/>
    </row>
    <row r="715" spans="1:20" ht="18" customHeight="1" x14ac:dyDescent="0.3">
      <c r="A715" s="389" t="s">
        <v>1807</v>
      </c>
      <c r="B715" s="225">
        <v>-74685.881099999999</v>
      </c>
      <c r="C715" s="394">
        <f t="shared" si="4"/>
        <v>2.5199999999999996</v>
      </c>
      <c r="D715" s="395">
        <v>12.600000000000092</v>
      </c>
      <c r="E715" s="47"/>
      <c r="F715" s="47"/>
      <c r="G715" s="47"/>
      <c r="H715" s="47"/>
      <c r="I715" s="47"/>
      <c r="J715"/>
      <c r="K715"/>
      <c r="L715"/>
      <c r="M715"/>
      <c r="N715"/>
      <c r="O715"/>
      <c r="P715"/>
      <c r="Q715"/>
      <c r="R715"/>
      <c r="S715" s="45"/>
      <c r="T715" s="45"/>
    </row>
    <row r="716" spans="1:20" ht="18" customHeight="1" x14ac:dyDescent="0.3">
      <c r="A716" s="389" t="s">
        <v>1808</v>
      </c>
      <c r="B716" s="225">
        <v>-77632.080400000006</v>
      </c>
      <c r="C716" s="394">
        <f t="shared" si="4"/>
        <v>2.5200000000000928</v>
      </c>
      <c r="D716" s="395">
        <v>10.080000000000092</v>
      </c>
      <c r="E716" s="47"/>
      <c r="F716" s="47"/>
      <c r="G716" s="47"/>
      <c r="H716" s="47"/>
      <c r="I716" s="47"/>
      <c r="J716"/>
      <c r="K716"/>
      <c r="L716"/>
      <c r="M716"/>
      <c r="N716"/>
      <c r="O716"/>
      <c r="P716"/>
      <c r="Q716"/>
      <c r="R716"/>
      <c r="S716" s="45"/>
      <c r="T716" s="45"/>
    </row>
    <row r="717" spans="1:20" ht="18" customHeight="1" x14ac:dyDescent="0.3">
      <c r="A717" s="391" t="s">
        <v>1809</v>
      </c>
      <c r="B717" s="225">
        <v>-79991.466899999999</v>
      </c>
      <c r="C717" s="394">
        <f t="shared" si="4"/>
        <v>2.519999999999909</v>
      </c>
      <c r="D717" s="395">
        <v>7.56</v>
      </c>
      <c r="E717" s="47"/>
      <c r="F717" s="47"/>
      <c r="G717" s="47"/>
      <c r="H717" s="47"/>
      <c r="I717" s="47"/>
      <c r="J717"/>
      <c r="K717"/>
      <c r="L717"/>
      <c r="M717"/>
      <c r="N717"/>
      <c r="O717"/>
      <c r="P717"/>
      <c r="Q717"/>
      <c r="R717"/>
      <c r="S717" s="45"/>
      <c r="T717" s="45"/>
    </row>
    <row r="718" spans="1:20" ht="18" customHeight="1" x14ac:dyDescent="0.3">
      <c r="A718" s="391" t="s">
        <v>1810</v>
      </c>
      <c r="B718" s="225">
        <v>-81641.580600000001</v>
      </c>
      <c r="C718" s="394">
        <f t="shared" si="4"/>
        <v>2.5200000000008633</v>
      </c>
      <c r="D718" s="395">
        <v>5.0400000000000906</v>
      </c>
      <c r="E718" s="47"/>
      <c r="F718" s="47"/>
      <c r="G718" s="47"/>
      <c r="H718" s="47"/>
      <c r="I718" s="47"/>
      <c r="J718"/>
      <c r="K718"/>
      <c r="L718"/>
      <c r="M718"/>
      <c r="N718"/>
      <c r="O718"/>
      <c r="P718"/>
      <c r="Q718"/>
      <c r="R718"/>
      <c r="S718" s="45"/>
      <c r="T718" s="45"/>
    </row>
    <row r="719" spans="1:20" ht="18" customHeight="1" x14ac:dyDescent="0.3">
      <c r="A719" s="391" t="s">
        <v>1811</v>
      </c>
      <c r="B719" s="225">
        <v>-82651.993300000002</v>
      </c>
      <c r="C719" s="394">
        <f t="shared" si="4"/>
        <v>2.5199999999992273</v>
      </c>
      <c r="D719" s="395">
        <v>2.5199999999992273</v>
      </c>
      <c r="E719" s="47"/>
      <c r="F719" s="47"/>
      <c r="G719" s="47"/>
      <c r="H719" s="47"/>
      <c r="I719" s="47"/>
      <c r="J719"/>
      <c r="K719"/>
      <c r="L719"/>
      <c r="M719"/>
      <c r="N719"/>
      <c r="O719"/>
      <c r="P719"/>
      <c r="Q719"/>
      <c r="R719"/>
      <c r="S719" s="45"/>
      <c r="T719" s="45"/>
    </row>
    <row r="720" spans="1:20" ht="18" customHeight="1" x14ac:dyDescent="0.3">
      <c r="A720" s="391" t="s">
        <v>1812</v>
      </c>
      <c r="B720" s="225">
        <v>-83111.945800000001</v>
      </c>
      <c r="C720" s="394">
        <f t="shared" si="4"/>
        <v>2.5199999999991793</v>
      </c>
      <c r="D720" s="97">
        <v>0</v>
      </c>
      <c r="E720" s="47"/>
      <c r="F720" s="47"/>
      <c r="G720" s="47"/>
      <c r="H720" s="47"/>
      <c r="I720" s="47"/>
      <c r="J720"/>
      <c r="K720"/>
      <c r="L720"/>
      <c r="M720"/>
      <c r="N720"/>
      <c r="O720"/>
      <c r="P720"/>
      <c r="Q720"/>
      <c r="R720"/>
      <c r="S720" s="45"/>
      <c r="T720" s="45"/>
    </row>
    <row r="721" spans="1:20" ht="18" customHeight="1" x14ac:dyDescent="0.3">
      <c r="A721" s="391"/>
      <c r="B721" s="225"/>
      <c r="C721" s="394"/>
      <c r="D721" s="97">
        <v>-2.5199999999991793</v>
      </c>
      <c r="E721" s="47"/>
      <c r="F721" s="47"/>
      <c r="G721" s="47"/>
      <c r="H721" s="47"/>
      <c r="I721" s="47"/>
      <c r="J721"/>
      <c r="K721"/>
      <c r="L721"/>
      <c r="M721"/>
      <c r="N721"/>
      <c r="O721"/>
      <c r="P721"/>
      <c r="Q721"/>
      <c r="R721"/>
      <c r="S721" s="45"/>
      <c r="T721" s="45"/>
    </row>
    <row r="722" spans="1:20" ht="18" customHeight="1" x14ac:dyDescent="0.3">
      <c r="A722" s="391"/>
      <c r="B722" s="225"/>
      <c r="C722" s="394"/>
      <c r="D722" s="97"/>
      <c r="E722" s="47"/>
      <c r="F722" s="47"/>
      <c r="G722" s="47"/>
      <c r="H722" s="47"/>
      <c r="I722" s="47"/>
      <c r="J722"/>
      <c r="K722"/>
      <c r="L722"/>
      <c r="M722"/>
      <c r="N722"/>
      <c r="O722"/>
      <c r="P722"/>
      <c r="Q722"/>
      <c r="R722"/>
      <c r="S722" s="45"/>
      <c r="T722" s="45"/>
    </row>
    <row r="723" spans="1:20" ht="18" customHeight="1" x14ac:dyDescent="0.3">
      <c r="A723" s="391"/>
      <c r="B723" s="225"/>
      <c r="C723" s="394"/>
      <c r="D723" s="97"/>
      <c r="E723" s="47"/>
      <c r="F723" s="47"/>
      <c r="G723" s="47"/>
      <c r="H723" s="47"/>
      <c r="I723" s="47"/>
      <c r="J723"/>
      <c r="K723"/>
      <c r="L723"/>
      <c r="M723"/>
      <c r="N723"/>
      <c r="O723"/>
      <c r="P723"/>
      <c r="Q723"/>
      <c r="R723"/>
      <c r="S723" s="45"/>
      <c r="T723" s="45"/>
    </row>
    <row r="724" spans="1:20" ht="18" customHeight="1" x14ac:dyDescent="0.3">
      <c r="A724" s="391"/>
      <c r="B724" s="225"/>
      <c r="C724" s="394"/>
      <c r="D724" s="97"/>
      <c r="E724" s="47"/>
      <c r="F724" s="47"/>
      <c r="G724" s="47"/>
      <c r="H724" s="47"/>
      <c r="I724" s="47"/>
      <c r="J724"/>
      <c r="K724"/>
      <c r="L724"/>
      <c r="M724"/>
      <c r="N724"/>
      <c r="O724"/>
      <c r="P724"/>
      <c r="Q724"/>
      <c r="R724"/>
      <c r="S724" s="45"/>
      <c r="T724" s="45"/>
    </row>
    <row r="725" spans="1:20" ht="18" customHeight="1" x14ac:dyDescent="0.3">
      <c r="A725" s="391"/>
      <c r="B725" s="225"/>
      <c r="C725" s="394"/>
      <c r="D725" s="97"/>
      <c r="E725" s="47"/>
      <c r="F725" s="47"/>
      <c r="G725" s="47"/>
      <c r="H725" s="47"/>
      <c r="I725" s="47"/>
      <c r="J725"/>
      <c r="K725"/>
      <c r="L725"/>
      <c r="M725"/>
      <c r="N725"/>
      <c r="O725"/>
      <c r="P725"/>
      <c r="Q725"/>
      <c r="R725"/>
      <c r="S725" s="45"/>
      <c r="T725" s="45"/>
    </row>
    <row r="726" spans="1:20" ht="18" customHeight="1" x14ac:dyDescent="0.3">
      <c r="A726" s="391"/>
      <c r="B726" s="225"/>
      <c r="C726" s="394"/>
      <c r="D726" s="97"/>
      <c r="E726" s="47"/>
      <c r="F726" s="47"/>
      <c r="G726" s="47"/>
      <c r="H726" s="47"/>
      <c r="I726" s="47"/>
      <c r="J726"/>
      <c r="K726"/>
      <c r="L726"/>
      <c r="M726"/>
      <c r="N726"/>
      <c r="O726"/>
      <c r="P726"/>
      <c r="Q726"/>
      <c r="R726"/>
      <c r="S726" s="45"/>
      <c r="T726" s="45"/>
    </row>
    <row r="727" spans="1:20" ht="18" customHeight="1" x14ac:dyDescent="0.3">
      <c r="A727" s="391"/>
      <c r="B727" s="225"/>
      <c r="C727" s="394"/>
      <c r="D727" s="97"/>
      <c r="E727" s="47"/>
      <c r="F727" s="47"/>
      <c r="G727" s="47"/>
      <c r="H727" s="47"/>
      <c r="I727" s="47"/>
      <c r="J727"/>
      <c r="K727"/>
      <c r="L727"/>
      <c r="M727"/>
      <c r="N727"/>
      <c r="O727"/>
      <c r="P727"/>
      <c r="Q727"/>
      <c r="R727"/>
      <c r="S727" s="45"/>
      <c r="T727" s="45"/>
    </row>
    <row r="728" spans="1:20" ht="18" customHeight="1" x14ac:dyDescent="0.3">
      <c r="A728" s="391"/>
      <c r="B728" s="225"/>
      <c r="C728" s="394"/>
      <c r="D728" s="97"/>
      <c r="E728" s="47"/>
      <c r="F728" s="47"/>
      <c r="G728" s="47"/>
      <c r="H728" s="47"/>
      <c r="I728" s="47"/>
      <c r="J728"/>
      <c r="K728"/>
      <c r="L728"/>
      <c r="M728"/>
      <c r="N728"/>
      <c r="O728"/>
      <c r="P728"/>
      <c r="Q728"/>
      <c r="R728"/>
      <c r="S728" s="45"/>
      <c r="T728" s="45"/>
    </row>
    <row r="729" spans="1:20" ht="18" customHeight="1" x14ac:dyDescent="0.3">
      <c r="A729" s="391"/>
      <c r="B729" s="225"/>
      <c r="C729" s="394"/>
      <c r="D729" s="97"/>
      <c r="E729" s="47"/>
      <c r="F729" s="47"/>
      <c r="G729" s="47"/>
      <c r="H729" s="47"/>
      <c r="I729" s="47"/>
      <c r="J729"/>
      <c r="K729"/>
      <c r="L729"/>
      <c r="M729"/>
      <c r="N729"/>
      <c r="O729"/>
      <c r="P729"/>
      <c r="Q729"/>
      <c r="R729"/>
      <c r="S729" s="45"/>
      <c r="T729" s="45"/>
    </row>
    <row r="730" spans="1:20" ht="18" customHeight="1" x14ac:dyDescent="0.3">
      <c r="A730" s="391"/>
      <c r="B730" s="225"/>
      <c r="C730" s="394"/>
      <c r="D730" s="97"/>
      <c r="E730" s="47"/>
      <c r="F730" s="47"/>
      <c r="G730" s="47"/>
      <c r="H730" s="47"/>
      <c r="I730" s="47"/>
      <c r="J730"/>
      <c r="K730"/>
      <c r="L730"/>
      <c r="M730"/>
      <c r="N730"/>
      <c r="O730"/>
      <c r="P730"/>
      <c r="Q730"/>
      <c r="R730"/>
      <c r="S730" s="45"/>
      <c r="T730" s="45"/>
    </row>
    <row r="731" spans="1:20" ht="18" customHeight="1" x14ac:dyDescent="0.3">
      <c r="A731" s="410"/>
      <c r="B731" s="411"/>
      <c r="C731" s="412"/>
      <c r="D731" s="413"/>
      <c r="E731" s="414"/>
      <c r="F731" s="414"/>
      <c r="G731" s="414"/>
      <c r="H731" s="414"/>
      <c r="I731" s="414"/>
      <c r="J731" s="62"/>
      <c r="K731" s="62"/>
      <c r="L731" s="62"/>
      <c r="M731" s="62"/>
      <c r="N731"/>
      <c r="O731"/>
      <c r="P731"/>
      <c r="Q731"/>
      <c r="R731"/>
      <c r="S731" s="45"/>
      <c r="T731" s="45"/>
    </row>
    <row r="732" spans="1:20" ht="18" customHeight="1" x14ac:dyDescent="0.25">
      <c r="A732" s="415"/>
      <c r="B732" s="225"/>
      <c r="C732" s="47"/>
      <c r="D732" s="97"/>
      <c r="E732" s="47"/>
      <c r="F732" s="47"/>
      <c r="G732" s="47"/>
      <c r="H732" s="47"/>
      <c r="I732" s="47"/>
      <c r="J732"/>
      <c r="K732"/>
      <c r="L732"/>
      <c r="M732"/>
      <c r="N732"/>
      <c r="O732"/>
      <c r="P732"/>
      <c r="Q732"/>
      <c r="R732"/>
      <c r="S732" s="45"/>
      <c r="T732" s="45"/>
    </row>
    <row r="733" spans="1:20" ht="18" customHeight="1" x14ac:dyDescent="0.25">
      <c r="A733" s="232"/>
      <c r="B733" s="47"/>
      <c r="C733" s="47"/>
      <c r="D733" s="97"/>
      <c r="E733" s="47"/>
      <c r="F733" s="47"/>
      <c r="G733" s="47"/>
      <c r="H733" s="47"/>
      <c r="I733" s="47"/>
      <c r="J733"/>
      <c r="K733"/>
      <c r="L733"/>
      <c r="M733"/>
      <c r="N733"/>
      <c r="O733"/>
      <c r="P733"/>
      <c r="Q733"/>
      <c r="R733"/>
      <c r="S733" s="45"/>
      <c r="T733" s="45"/>
    </row>
    <row r="734" spans="1:20" ht="18" customHeight="1" x14ac:dyDescent="0.3">
      <c r="A734" s="384" t="s">
        <v>1891</v>
      </c>
      <c r="B734" s="384" t="s">
        <v>1895</v>
      </c>
      <c r="C734" s="384" t="s">
        <v>1892</v>
      </c>
      <c r="D734" s="384" t="s">
        <v>1884</v>
      </c>
      <c r="E734" s="384" t="s">
        <v>1885</v>
      </c>
      <c r="F734" s="384"/>
      <c r="G734" s="450" t="s">
        <v>1896</v>
      </c>
      <c r="H734" s="384" t="s">
        <v>1887</v>
      </c>
      <c r="I734" s="384" t="s">
        <v>1888</v>
      </c>
      <c r="J734" s="452" t="s">
        <v>1896</v>
      </c>
      <c r="K734" s="45"/>
      <c r="L734"/>
      <c r="M734"/>
      <c r="N734"/>
      <c r="O734"/>
      <c r="P734"/>
      <c r="Q734"/>
      <c r="R734"/>
      <c r="S734" s="45"/>
      <c r="T734" s="45"/>
    </row>
    <row r="735" spans="1:20" ht="18" customHeight="1" x14ac:dyDescent="0.3">
      <c r="A735" s="384"/>
      <c r="B735" s="384"/>
      <c r="C735" s="384" t="s">
        <v>14</v>
      </c>
      <c r="D735" s="384" t="s">
        <v>14</v>
      </c>
      <c r="E735" s="384" t="s">
        <v>409</v>
      </c>
      <c r="F735" s="384"/>
      <c r="G735" s="451"/>
      <c r="H735" s="384" t="s">
        <v>14</v>
      </c>
      <c r="I735" s="384" t="s">
        <v>409</v>
      </c>
      <c r="J735" s="453"/>
      <c r="K735" s="45"/>
      <c r="L735"/>
      <c r="M735"/>
      <c r="N735"/>
      <c r="O735"/>
      <c r="P735"/>
      <c r="Q735"/>
      <c r="R735"/>
      <c r="S735" s="45"/>
      <c r="T735" s="45"/>
    </row>
    <row r="736" spans="1:20" ht="18" customHeight="1" x14ac:dyDescent="0.25">
      <c r="A736" s="396" t="s">
        <v>1812</v>
      </c>
      <c r="B736" s="165" t="str">
        <f t="shared" ref="B736:B751" si="5">+B675</f>
        <v>FHEX</v>
      </c>
      <c r="C736" s="165">
        <f t="shared" ref="C736:C738" si="6">+ABS(B705)</f>
        <v>10028.642900000001</v>
      </c>
      <c r="D736" s="165">
        <f t="shared" ref="D736:D751" si="7">+C675</f>
        <v>10028.642900000001</v>
      </c>
      <c r="E736" s="165">
        <f>+D675/1000</f>
        <v>4.0502999999999995E-5</v>
      </c>
      <c r="F736" s="165"/>
      <c r="G736" s="397">
        <f t="shared" ref="G736:G750" si="8">+(C736*E736)/(D736*C705)</f>
        <v>1.6072619047619025E-5</v>
      </c>
      <c r="H736" s="165">
        <f>+G675</f>
        <v>10741.533600000001</v>
      </c>
      <c r="I736" s="165">
        <f>+H675/1000</f>
        <v>2.1669000000000002E-5</v>
      </c>
      <c r="J736" s="398">
        <f t="shared" ref="J736:J750" si="9">+(C736*I736)/(H736*C705)</f>
        <v>8.0281264566732511E-6</v>
      </c>
      <c r="K736" s="45"/>
      <c r="L736"/>
      <c r="M736"/>
      <c r="N736"/>
      <c r="O736"/>
      <c r="P736"/>
      <c r="Q736"/>
      <c r="R736"/>
      <c r="S736" s="45"/>
      <c r="T736" s="45"/>
    </row>
    <row r="737" spans="1:20" ht="18" customHeight="1" x14ac:dyDescent="0.25">
      <c r="A737" s="396" t="str">
        <f t="shared" ref="A737:A751" si="10">+A676</f>
        <v>Nivel 15 N+35.28</v>
      </c>
      <c r="B737" s="165" t="str">
        <f t="shared" si="5"/>
        <v>FHEX</v>
      </c>
      <c r="C737" s="165">
        <f t="shared" si="6"/>
        <v>19420.850600000002</v>
      </c>
      <c r="D737" s="165">
        <f t="shared" si="7"/>
        <v>19420.850600000002</v>
      </c>
      <c r="E737" s="165">
        <f t="shared" ref="E737:E751" si="11">+D676/1000</f>
        <v>4.0714999999999999E-5</v>
      </c>
      <c r="F737" s="165"/>
      <c r="G737" s="397">
        <f t="shared" si="8"/>
        <v>1.6156746031745419E-5</v>
      </c>
      <c r="H737" s="165">
        <f t="shared" ref="H737:H751" si="12">+G676</f>
        <v>20865.2166</v>
      </c>
      <c r="I737" s="165">
        <f t="shared" ref="I737:I751" si="13">+H676/1000</f>
        <v>2.1829000000000001E-5</v>
      </c>
      <c r="J737" s="398">
        <f t="shared" si="9"/>
        <v>8.062665641300873E-6</v>
      </c>
      <c r="K737" s="45"/>
      <c r="L737"/>
      <c r="M737"/>
      <c r="N737"/>
      <c r="O737"/>
      <c r="P737"/>
      <c r="Q737"/>
      <c r="R737"/>
      <c r="S737" s="45"/>
      <c r="T737" s="45"/>
    </row>
    <row r="738" spans="1:20" ht="18" customHeight="1" x14ac:dyDescent="0.25">
      <c r="A738" s="396" t="str">
        <f t="shared" si="10"/>
        <v>Nivel 14 N+32.76</v>
      </c>
      <c r="B738" s="165" t="str">
        <f t="shared" si="5"/>
        <v>FHEX</v>
      </c>
      <c r="C738" s="165">
        <f t="shared" si="6"/>
        <v>28234.911100000001</v>
      </c>
      <c r="D738" s="165">
        <f t="shared" si="7"/>
        <v>28234.911100000001</v>
      </c>
      <c r="E738" s="165">
        <f t="shared" si="11"/>
        <v>4.0735000000000002E-5</v>
      </c>
      <c r="F738" s="165"/>
      <c r="G738" s="397">
        <f t="shared" si="8"/>
        <v>1.6164682539683158E-5</v>
      </c>
      <c r="H738" s="165">
        <f t="shared" si="12"/>
        <v>30430.182000000001</v>
      </c>
      <c r="I738" s="165">
        <f t="shared" si="13"/>
        <v>2.1885000000000001E-5</v>
      </c>
      <c r="J738" s="398">
        <f t="shared" si="9"/>
        <v>8.0580115395874887E-6</v>
      </c>
      <c r="K738" s="45"/>
      <c r="L738"/>
      <c r="M738"/>
      <c r="N738"/>
      <c r="O738"/>
      <c r="P738"/>
      <c r="Q738"/>
      <c r="R738"/>
      <c r="S738" s="45"/>
      <c r="T738" s="45"/>
    </row>
    <row r="739" spans="1:20" ht="18" customHeight="1" x14ac:dyDescent="0.25">
      <c r="A739" s="396" t="str">
        <f t="shared" si="10"/>
        <v>Nivel 13 N+30.24</v>
      </c>
      <c r="B739" s="165" t="str">
        <f t="shared" si="5"/>
        <v>FHEX</v>
      </c>
      <c r="C739" s="165">
        <f>+ABS(B708)</f>
        <v>36300.178800000002</v>
      </c>
      <c r="D739" s="165">
        <f t="shared" si="7"/>
        <v>36300.178800000002</v>
      </c>
      <c r="E739" s="165">
        <f t="shared" si="11"/>
        <v>4.0402999999999999E-5</v>
      </c>
      <c r="F739" s="165"/>
      <c r="G739" s="397">
        <f t="shared" si="8"/>
        <v>1.6032936507936512E-5</v>
      </c>
      <c r="H739" s="165">
        <f t="shared" si="12"/>
        <v>39246.358</v>
      </c>
      <c r="I739" s="165">
        <f t="shared" si="13"/>
        <v>2.1753E-5</v>
      </c>
      <c r="J739" s="398">
        <f t="shared" si="9"/>
        <v>7.9841377674185366E-6</v>
      </c>
      <c r="K739" s="45"/>
      <c r="L739"/>
      <c r="M739"/>
      <c r="N739"/>
      <c r="O739"/>
      <c r="P739"/>
      <c r="Q739"/>
      <c r="R739"/>
      <c r="S739" s="45"/>
      <c r="T739" s="45"/>
    </row>
    <row r="740" spans="1:20" ht="18" customHeight="1" x14ac:dyDescent="0.25">
      <c r="A740" s="396" t="str">
        <f t="shared" si="10"/>
        <v>Nivel 12 N+27.72</v>
      </c>
      <c r="B740" s="165" t="str">
        <f t="shared" si="5"/>
        <v>FHEX</v>
      </c>
      <c r="C740" s="165">
        <f t="shared" ref="C740:C751" si="14">+ABS(B709)</f>
        <v>43627.981800000001</v>
      </c>
      <c r="D740" s="165">
        <f t="shared" si="7"/>
        <v>43627.981800000001</v>
      </c>
      <c r="E740" s="165">
        <f t="shared" si="11"/>
        <v>3.9566999999999996E-5</v>
      </c>
      <c r="F740" s="165"/>
      <c r="G740" s="397">
        <f t="shared" si="8"/>
        <v>1.5701190476190479E-5</v>
      </c>
      <c r="H740" s="165">
        <f t="shared" si="12"/>
        <v>47319.4879</v>
      </c>
      <c r="I740" s="165">
        <f t="shared" si="13"/>
        <v>2.1364000000000001E-5</v>
      </c>
      <c r="J740" s="398">
        <f t="shared" si="9"/>
        <v>7.8164061152769456E-6</v>
      </c>
      <c r="K740" s="45"/>
      <c r="L740"/>
      <c r="M740"/>
      <c r="N740"/>
      <c r="O740"/>
      <c r="P740"/>
      <c r="Q740"/>
      <c r="R740"/>
      <c r="S740" s="45"/>
      <c r="T740" s="45"/>
    </row>
    <row r="741" spans="1:20" ht="18" customHeight="1" x14ac:dyDescent="0.25">
      <c r="A741" s="396" t="str">
        <f t="shared" si="10"/>
        <v>Nivel 11 N+25.2</v>
      </c>
      <c r="B741" s="165" t="str">
        <f t="shared" si="5"/>
        <v>FHEX</v>
      </c>
      <c r="C741" s="165">
        <f t="shared" si="14"/>
        <v>50230.400199999996</v>
      </c>
      <c r="D741" s="165">
        <f t="shared" si="7"/>
        <v>50230.400199999996</v>
      </c>
      <c r="E741" s="165">
        <f t="shared" si="11"/>
        <v>3.8055000000000001E-5</v>
      </c>
      <c r="F741" s="165"/>
      <c r="G741" s="397">
        <f t="shared" si="8"/>
        <v>1.5101190476190501E-5</v>
      </c>
      <c r="H741" s="165">
        <f t="shared" si="12"/>
        <v>54655.744500000001</v>
      </c>
      <c r="I741" s="165">
        <f t="shared" si="13"/>
        <v>2.0645E-5</v>
      </c>
      <c r="J741" s="398">
        <f t="shared" si="9"/>
        <v>7.5291364911999573E-6</v>
      </c>
      <c r="K741" s="45"/>
      <c r="L741"/>
      <c r="M741"/>
      <c r="N741"/>
      <c r="O741"/>
      <c r="P741"/>
      <c r="Q741"/>
      <c r="R741"/>
      <c r="S741" s="45"/>
      <c r="T741" s="45"/>
    </row>
    <row r="742" spans="1:20" ht="18" customHeight="1" x14ac:dyDescent="0.25">
      <c r="A742" s="396" t="str">
        <f t="shared" si="10"/>
        <v>Nivel 10 N+22.68</v>
      </c>
      <c r="B742" s="165" t="str">
        <f t="shared" si="5"/>
        <v>FHEX</v>
      </c>
      <c r="C742" s="165">
        <f t="shared" si="14"/>
        <v>56394.185899999997</v>
      </c>
      <c r="D742" s="165">
        <f t="shared" si="7"/>
        <v>56394.185899999997</v>
      </c>
      <c r="E742" s="165">
        <f t="shared" si="11"/>
        <v>3.5849000000000002E-5</v>
      </c>
      <c r="F742" s="165"/>
      <c r="G742" s="397">
        <f t="shared" si="8"/>
        <v>1.4225793650793651E-5</v>
      </c>
      <c r="H742" s="165">
        <f t="shared" si="12"/>
        <v>61568.883199999997</v>
      </c>
      <c r="I742" s="165">
        <f t="shared" si="13"/>
        <v>1.9459000000000001E-5</v>
      </c>
      <c r="J742" s="398">
        <f t="shared" si="9"/>
        <v>7.072826958730881E-6</v>
      </c>
      <c r="K742" s="45"/>
      <c r="L742"/>
      <c r="M742"/>
      <c r="N742"/>
      <c r="O742"/>
      <c r="P742"/>
      <c r="Q742"/>
      <c r="R742"/>
      <c r="S742" s="45"/>
      <c r="T742" s="45"/>
    </row>
    <row r="743" spans="1:20" ht="18" customHeight="1" x14ac:dyDescent="0.25">
      <c r="A743" s="396" t="str">
        <f t="shared" si="10"/>
        <v>Nivel 9 N+20.16</v>
      </c>
      <c r="B743" s="165" t="str">
        <f t="shared" si="5"/>
        <v>FHEX</v>
      </c>
      <c r="C743" s="165">
        <f t="shared" si="14"/>
        <v>62068.388899999998</v>
      </c>
      <c r="D743" s="165">
        <f t="shared" si="7"/>
        <v>62068.388899999998</v>
      </c>
      <c r="E743" s="165">
        <f t="shared" si="11"/>
        <v>3.4042000000000004E-5</v>
      </c>
      <c r="F743" s="165"/>
      <c r="G743" s="397">
        <f t="shared" si="8"/>
        <v>1.3508730158730161E-5</v>
      </c>
      <c r="H743" s="165">
        <f t="shared" si="12"/>
        <v>67998.972399999999</v>
      </c>
      <c r="I743" s="165">
        <f t="shared" si="13"/>
        <v>1.8485999999999999E-5</v>
      </c>
      <c r="J743" s="398">
        <f t="shared" si="9"/>
        <v>6.695924233481505E-6</v>
      </c>
      <c r="K743" s="45"/>
      <c r="L743"/>
      <c r="M743"/>
      <c r="N743"/>
      <c r="O743"/>
      <c r="P743"/>
      <c r="Q743"/>
      <c r="R743"/>
      <c r="S743" s="45"/>
      <c r="T743" s="45"/>
    </row>
    <row r="744" spans="1:20" ht="18" customHeight="1" x14ac:dyDescent="0.25">
      <c r="A744" s="396" t="str">
        <f t="shared" si="10"/>
        <v>Nivel 8 N+17.64</v>
      </c>
      <c r="B744" s="165" t="str">
        <f t="shared" si="5"/>
        <v>FHEX</v>
      </c>
      <c r="C744" s="165">
        <f t="shared" si="14"/>
        <v>66995.8606</v>
      </c>
      <c r="D744" s="165">
        <f t="shared" si="7"/>
        <v>66995.8606</v>
      </c>
      <c r="E744" s="165">
        <f t="shared" si="11"/>
        <v>3.1764000000000003E-5</v>
      </c>
      <c r="F744" s="165"/>
      <c r="G744" s="397">
        <f t="shared" si="8"/>
        <v>1.26047619047619E-5</v>
      </c>
      <c r="H744" s="165">
        <f t="shared" si="12"/>
        <v>73647.681500000006</v>
      </c>
      <c r="I744" s="165">
        <f t="shared" si="13"/>
        <v>1.7261E-5</v>
      </c>
      <c r="J744" s="398">
        <f t="shared" si="9"/>
        <v>6.2309505215182026E-6</v>
      </c>
      <c r="K744" s="45"/>
      <c r="L744"/>
      <c r="M744"/>
      <c r="N744"/>
      <c r="O744"/>
      <c r="P744"/>
      <c r="Q744"/>
      <c r="R744"/>
      <c r="S744" s="45"/>
      <c r="T744" s="45"/>
    </row>
    <row r="745" spans="1:20" ht="18" customHeight="1" x14ac:dyDescent="0.25">
      <c r="A745" s="396" t="str">
        <f t="shared" si="10"/>
        <v>Nivel 7 N+15.12</v>
      </c>
      <c r="B745" s="165" t="str">
        <f t="shared" si="5"/>
        <v>FHEX</v>
      </c>
      <c r="C745" s="165">
        <f t="shared" si="14"/>
        <v>71194.899000000005</v>
      </c>
      <c r="D745" s="165">
        <f t="shared" si="7"/>
        <v>71194.899000000005</v>
      </c>
      <c r="E745" s="165">
        <f t="shared" si="11"/>
        <v>2.8913999999999998E-5</v>
      </c>
      <c r="F745" s="165"/>
      <c r="G745" s="397">
        <f t="shared" si="8"/>
        <v>1.1473809523809525E-5</v>
      </c>
      <c r="H745" s="165">
        <f t="shared" si="12"/>
        <v>78524.741200000004</v>
      </c>
      <c r="I745" s="165">
        <f t="shared" si="13"/>
        <v>1.5729000000000001E-5</v>
      </c>
      <c r="J745" s="398">
        <f t="shared" si="9"/>
        <v>5.6590422475025006E-6</v>
      </c>
      <c r="K745" s="45"/>
      <c r="L745"/>
      <c r="M745"/>
      <c r="N745"/>
      <c r="O745"/>
      <c r="P745"/>
      <c r="Q745"/>
      <c r="R745"/>
      <c r="S745" s="45"/>
      <c r="T745" s="45"/>
    </row>
    <row r="746" spans="1:20" ht="18" customHeight="1" x14ac:dyDescent="0.25">
      <c r="A746" s="396" t="str">
        <f t="shared" si="10"/>
        <v>Nivel 6 N+12.6</v>
      </c>
      <c r="B746" s="165" t="str">
        <f t="shared" si="5"/>
        <v>FHEX</v>
      </c>
      <c r="C746" s="165">
        <f t="shared" si="14"/>
        <v>74685.881099999999</v>
      </c>
      <c r="D746" s="165">
        <f t="shared" si="7"/>
        <v>74685.881099999999</v>
      </c>
      <c r="E746" s="165">
        <f t="shared" si="11"/>
        <v>2.5423999999999999E-5</v>
      </c>
      <c r="F746" s="165"/>
      <c r="G746" s="397">
        <f t="shared" si="8"/>
        <v>1.008888888888889E-5</v>
      </c>
      <c r="H746" s="165">
        <f t="shared" si="12"/>
        <v>82641.132100000003</v>
      </c>
      <c r="I746" s="165">
        <f t="shared" si="13"/>
        <v>1.3837E-5</v>
      </c>
      <c r="J746" s="398">
        <f t="shared" si="9"/>
        <v>4.9623072527910165E-6</v>
      </c>
      <c r="K746" s="45"/>
      <c r="L746" s="45"/>
      <c r="M746" s="45"/>
      <c r="N746" s="45"/>
      <c r="O746" s="45"/>
      <c r="P746" s="45"/>
      <c r="Q746" s="45"/>
      <c r="R746" s="45"/>
      <c r="S746" s="45"/>
      <c r="T746" s="45"/>
    </row>
    <row r="747" spans="1:20" ht="18" customHeight="1" x14ac:dyDescent="0.25">
      <c r="A747" s="396" t="str">
        <f t="shared" si="10"/>
        <v>Nivel 5 N+10.08</v>
      </c>
      <c r="B747" s="165" t="str">
        <f t="shared" si="5"/>
        <v>FHEX</v>
      </c>
      <c r="C747" s="165">
        <f t="shared" si="14"/>
        <v>77632.080400000006</v>
      </c>
      <c r="D747" s="165">
        <f t="shared" si="7"/>
        <v>77632.080400000006</v>
      </c>
      <c r="E747" s="165">
        <f t="shared" si="11"/>
        <v>2.1572999999999998E-5</v>
      </c>
      <c r="F747" s="165"/>
      <c r="G747" s="397">
        <f t="shared" si="8"/>
        <v>8.5607142857139701E-6</v>
      </c>
      <c r="H747" s="165">
        <f t="shared" si="12"/>
        <v>86177.772200000007</v>
      </c>
      <c r="I747" s="165">
        <f t="shared" si="13"/>
        <v>1.1606999999999999E-5</v>
      </c>
      <c r="J747" s="398">
        <f t="shared" si="9"/>
        <v>4.1492098998197759E-6</v>
      </c>
      <c r="K747" s="45"/>
      <c r="L747" s="45"/>
      <c r="M747" s="45"/>
      <c r="N747" s="45"/>
      <c r="O747" s="45"/>
      <c r="P747" s="45"/>
      <c r="Q747" s="45"/>
      <c r="R747" s="45"/>
      <c r="S747" s="45"/>
      <c r="T747" s="45"/>
    </row>
    <row r="748" spans="1:20" ht="18" customHeight="1" x14ac:dyDescent="0.25">
      <c r="A748" s="396" t="str">
        <f t="shared" si="10"/>
        <v>Nivel 4 N+7.56</v>
      </c>
      <c r="B748" s="165" t="str">
        <f t="shared" si="5"/>
        <v>FHEX</v>
      </c>
      <c r="C748" s="165">
        <f t="shared" si="14"/>
        <v>79991.466899999999</v>
      </c>
      <c r="D748" s="165">
        <f t="shared" si="7"/>
        <v>79991.466899999999</v>
      </c>
      <c r="E748" s="165">
        <f t="shared" si="11"/>
        <v>1.7866000000000001E-5</v>
      </c>
      <c r="F748" s="165"/>
      <c r="G748" s="397">
        <f t="shared" si="8"/>
        <v>7.089682539682797E-6</v>
      </c>
      <c r="H748" s="165">
        <f t="shared" si="12"/>
        <v>89072.615399999995</v>
      </c>
      <c r="I748" s="165">
        <f t="shared" si="13"/>
        <v>9.6220000000000004E-6</v>
      </c>
      <c r="J748" s="398">
        <f t="shared" si="9"/>
        <v>3.4289746017426588E-6</v>
      </c>
      <c r="K748" s="45"/>
      <c r="L748" s="45"/>
      <c r="M748" s="45"/>
      <c r="N748" s="45"/>
      <c r="O748" s="45"/>
      <c r="P748" s="45"/>
      <c r="Q748" s="45"/>
      <c r="R748" s="45"/>
      <c r="S748" s="45"/>
      <c r="T748" s="45"/>
    </row>
    <row r="749" spans="1:20" ht="18" customHeight="1" x14ac:dyDescent="0.25">
      <c r="A749" s="396" t="str">
        <f t="shared" si="10"/>
        <v>Nivel 3 N+5.04</v>
      </c>
      <c r="B749" s="165" t="str">
        <f t="shared" si="5"/>
        <v>FHEX</v>
      </c>
      <c r="C749" s="165">
        <f t="shared" si="14"/>
        <v>81641.580600000001</v>
      </c>
      <c r="D749" s="165">
        <f t="shared" si="7"/>
        <v>81641.580600000001</v>
      </c>
      <c r="E749" s="165">
        <f t="shared" si="11"/>
        <v>1.3609E-5</v>
      </c>
      <c r="F749" s="165"/>
      <c r="G749" s="397">
        <f t="shared" si="8"/>
        <v>5.4003968253949747E-6</v>
      </c>
      <c r="H749" s="165">
        <f t="shared" si="12"/>
        <v>91155.109899999996</v>
      </c>
      <c r="I749" s="165">
        <f t="shared" si="13"/>
        <v>7.3379999999999999E-6</v>
      </c>
      <c r="J749" s="398">
        <f t="shared" si="9"/>
        <v>2.6079997882651886E-6</v>
      </c>
      <c r="K749" s="45"/>
      <c r="L749" s="45"/>
      <c r="M749" s="45"/>
      <c r="N749" s="45"/>
      <c r="O749" s="45"/>
      <c r="P749" s="45"/>
      <c r="Q749" s="45"/>
      <c r="R749" s="45"/>
      <c r="S749" s="45"/>
      <c r="T749" s="45"/>
    </row>
    <row r="750" spans="1:20" ht="18" customHeight="1" x14ac:dyDescent="0.25">
      <c r="A750" s="396" t="str">
        <f t="shared" si="10"/>
        <v>Nivel 2 N+2.52</v>
      </c>
      <c r="B750" s="165" t="str">
        <f t="shared" si="5"/>
        <v>FHEX</v>
      </c>
      <c r="C750" s="165">
        <f t="shared" si="14"/>
        <v>82651.993300000002</v>
      </c>
      <c r="D750" s="165">
        <f t="shared" si="7"/>
        <v>82651.993300000002</v>
      </c>
      <c r="E750" s="165">
        <f t="shared" si="11"/>
        <v>8.9409999999999996E-6</v>
      </c>
      <c r="F750" s="165"/>
      <c r="G750" s="397">
        <f t="shared" si="8"/>
        <v>3.548015873016961E-6</v>
      </c>
      <c r="H750" s="165">
        <f t="shared" si="12"/>
        <v>92481.9715</v>
      </c>
      <c r="I750" s="165">
        <f t="shared" si="13"/>
        <v>4.6190000000000002E-6</v>
      </c>
      <c r="J750" s="398">
        <f t="shared" si="9"/>
        <v>1.6381123100661853E-6</v>
      </c>
      <c r="K750" s="45"/>
      <c r="L750" s="45"/>
      <c r="M750" s="45"/>
      <c r="N750" s="45"/>
      <c r="O750" s="45"/>
      <c r="P750" s="45"/>
      <c r="Q750" s="45"/>
      <c r="R750" s="45"/>
      <c r="S750" s="45"/>
      <c r="T750" s="45"/>
    </row>
    <row r="751" spans="1:20" customFormat="1" ht="18" customHeight="1" x14ac:dyDescent="0.25">
      <c r="A751" s="396" t="str">
        <f t="shared" si="10"/>
        <v>Nivel 1 N +0.00</v>
      </c>
      <c r="B751" s="165" t="str">
        <f t="shared" si="5"/>
        <v>FHEX</v>
      </c>
      <c r="C751" s="165">
        <f t="shared" si="14"/>
        <v>83111.945800000001</v>
      </c>
      <c r="D751" s="165">
        <f t="shared" si="7"/>
        <v>83111.945800000001</v>
      </c>
      <c r="E751" s="165">
        <f t="shared" si="11"/>
        <v>2.3540000000000002E-6</v>
      </c>
      <c r="F751" s="165"/>
      <c r="G751" s="397"/>
      <c r="H751" s="165">
        <f t="shared" si="12"/>
        <v>93128.430200000003</v>
      </c>
      <c r="I751" s="165">
        <f t="shared" si="13"/>
        <v>1.6590000000000001E-6</v>
      </c>
      <c r="J751" s="398"/>
    </row>
    <row r="752" spans="1:20" customFormat="1" ht="18" customHeight="1" x14ac:dyDescent="0.25">
      <c r="A752" s="165"/>
      <c r="B752" s="62"/>
      <c r="C752" s="62"/>
      <c r="D752" s="62"/>
      <c r="E752" s="62"/>
      <c r="F752" s="62"/>
      <c r="G752" s="408"/>
      <c r="H752" s="62"/>
      <c r="I752" s="62"/>
      <c r="J752" s="409"/>
      <c r="K752" s="62"/>
      <c r="L752" s="62"/>
    </row>
    <row r="753" spans="1:20" customFormat="1" ht="18" customHeight="1" x14ac:dyDescent="0.25"/>
    <row r="754" spans="1:20" ht="18" customHeight="1" x14ac:dyDescent="0.25">
      <c r="A754" s="164" t="s">
        <v>1897</v>
      </c>
      <c r="B754" s="47"/>
      <c r="C754" s="47"/>
      <c r="D754" s="47"/>
      <c r="E754" s="47"/>
      <c r="F754" s="47"/>
      <c r="G754" s="47"/>
      <c r="H754" s="47"/>
      <c r="I754"/>
      <c r="J754"/>
      <c r="K754"/>
      <c r="L754"/>
      <c r="M754"/>
      <c r="N754"/>
      <c r="O754"/>
      <c r="P754"/>
      <c r="Q754"/>
      <c r="R754"/>
      <c r="S754" s="45"/>
      <c r="T754" s="45"/>
    </row>
    <row r="755" spans="1:20" ht="18" customHeight="1" x14ac:dyDescent="0.25">
      <c r="A755" s="164"/>
      <c r="B755" s="47"/>
      <c r="C755" s="399" t="s">
        <v>1898</v>
      </c>
      <c r="D755" s="399" t="s">
        <v>1899</v>
      </c>
      <c r="E755" s="47"/>
      <c r="F755" s="47"/>
      <c r="G755" s="47"/>
      <c r="H755" s="47"/>
      <c r="I755"/>
      <c r="J755"/>
      <c r="K755"/>
      <c r="L755"/>
      <c r="M755"/>
      <c r="N755"/>
      <c r="O755"/>
      <c r="P755"/>
      <c r="Q755"/>
      <c r="R755"/>
      <c r="S755" s="45"/>
      <c r="T755" s="45"/>
    </row>
    <row r="756" spans="1:20" ht="18" customHeight="1" x14ac:dyDescent="0.25">
      <c r="A756" s="157" t="s">
        <v>1900</v>
      </c>
      <c r="B756"/>
      <c r="C756" s="400">
        <f>+MAX(G736:G751)</f>
        <v>1.6164682539683158E-5</v>
      </c>
      <c r="D756" s="401">
        <f>+MAX(J736:J752)</f>
        <v>8.062665641300873E-6</v>
      </c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 s="45"/>
      <c r="T756" s="45"/>
    </row>
    <row r="757" spans="1:20" ht="18" customHeight="1" x14ac:dyDescent="0.25">
      <c r="A757" s="157" t="s">
        <v>1901</v>
      </c>
      <c r="B757"/>
      <c r="C757" s="401">
        <v>0.1</v>
      </c>
      <c r="D757" s="401">
        <v>0.1</v>
      </c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 s="45"/>
      <c r="T757" s="45"/>
    </row>
    <row r="758" spans="1:20" ht="18" customHeight="1" x14ac:dyDescent="0.25">
      <c r="A758" s="80"/>
      <c r="B758" s="47"/>
      <c r="C758" s="49" t="str">
        <f>+IF(C756&lt;C757*1.04,"NO CONSID","CONSIDERAR")</f>
        <v>NO CONSID</v>
      </c>
      <c r="D758" s="49" t="str">
        <f>+IF(D756&lt;D757*1.04,"NO CONSID","CONSIDERAR")</f>
        <v>NO CONSID</v>
      </c>
      <c r="E758" s="47"/>
      <c r="F758" s="47"/>
      <c r="G758" s="47"/>
      <c r="H758" s="47"/>
      <c r="I758" s="47"/>
      <c r="J758"/>
      <c r="K758"/>
      <c r="L758"/>
      <c r="M758"/>
      <c r="N758"/>
      <c r="O758"/>
      <c r="P758"/>
      <c r="Q758"/>
      <c r="R758"/>
      <c r="S758" s="45"/>
      <c r="T758" s="45"/>
    </row>
    <row r="759" spans="1:20" ht="18" customHeight="1" x14ac:dyDescent="0.25">
      <c r="A759" s="157" t="s">
        <v>1902</v>
      </c>
      <c r="B759"/>
      <c r="C759" s="401">
        <v>0.3</v>
      </c>
      <c r="D759" s="401">
        <v>0.3</v>
      </c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 s="45"/>
      <c r="T759" s="45"/>
    </row>
    <row r="760" spans="1:20" ht="18" customHeight="1" x14ac:dyDescent="0.25">
      <c r="A760" s="80"/>
      <c r="B760" s="47"/>
      <c r="C760" s="49" t="str">
        <f>+IF(C756&lt;C759,"CUMPLE","REVISAR")</f>
        <v>CUMPLE</v>
      </c>
      <c r="D760" s="49" t="str">
        <f>+IF(D756&lt;D759,"CUMPLE","REVISAR")</f>
        <v>CUMPLE</v>
      </c>
      <c r="E760"/>
      <c r="F760"/>
      <c r="G760" s="47"/>
      <c r="H760" s="47"/>
      <c r="I760" s="47"/>
      <c r="J760"/>
      <c r="K760"/>
      <c r="L760"/>
      <c r="M760"/>
      <c r="N760"/>
      <c r="O760"/>
      <c r="P760"/>
      <c r="Q760"/>
      <c r="R760"/>
      <c r="S760" s="45"/>
      <c r="T760" s="45"/>
    </row>
    <row r="761" spans="1:20" s="144" customFormat="1" ht="18" customHeight="1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</row>
    <row r="762" spans="1:20" customFormat="1" ht="18" customHeight="1" x14ac:dyDescent="0.25">
      <c r="A762" s="167" t="s">
        <v>1903</v>
      </c>
      <c r="B762" s="32"/>
      <c r="C762" s="32"/>
      <c r="D762" s="32"/>
      <c r="E762" s="32"/>
      <c r="F762" s="32"/>
      <c r="G762" s="32"/>
      <c r="H762" s="32"/>
      <c r="I762" s="32"/>
      <c r="J762" s="166"/>
    </row>
    <row r="763" spans="1:20" customFormat="1" ht="18" customHeight="1" x14ac:dyDescent="0.25">
      <c r="A763" s="157" t="s">
        <v>1904</v>
      </c>
    </row>
    <row r="764" spans="1:20" s="98" customFormat="1" ht="18" customHeight="1" x14ac:dyDescent="0.25">
      <c r="A764" s="402" t="s">
        <v>1905</v>
      </c>
      <c r="J764"/>
      <c r="K764"/>
      <c r="L764"/>
      <c r="M764"/>
      <c r="N764"/>
      <c r="O764"/>
      <c r="P764"/>
      <c r="Q764"/>
      <c r="R764"/>
      <c r="S764"/>
      <c r="T764"/>
    </row>
    <row r="765" spans="1:20" s="100" customFormat="1" ht="18" customHeight="1" x14ac:dyDescent="0.25">
      <c r="C765" s="233" t="s">
        <v>1898</v>
      </c>
      <c r="D765" s="233" t="s">
        <v>1899</v>
      </c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</row>
    <row r="766" spans="1:20" s="98" customFormat="1" ht="18" customHeight="1" x14ac:dyDescent="0.25">
      <c r="A766" s="402" t="s">
        <v>1906</v>
      </c>
      <c r="C766" s="403">
        <v>59</v>
      </c>
      <c r="D766" s="403">
        <v>50</v>
      </c>
      <c r="J766"/>
      <c r="K766"/>
      <c r="L766"/>
      <c r="M766"/>
      <c r="N766"/>
      <c r="O766"/>
      <c r="P766"/>
      <c r="Q766"/>
      <c r="R766"/>
      <c r="S766"/>
      <c r="T766"/>
    </row>
    <row r="767" spans="1:20" s="98" customFormat="1" ht="18" customHeight="1" x14ac:dyDescent="0.25">
      <c r="A767" s="402" t="s">
        <v>1907</v>
      </c>
      <c r="C767" s="403">
        <v>-60</v>
      </c>
      <c r="D767" s="403">
        <v>-50</v>
      </c>
      <c r="J767"/>
      <c r="K767"/>
      <c r="L767"/>
      <c r="M767"/>
      <c r="N767"/>
      <c r="O767"/>
      <c r="P767"/>
      <c r="Q767"/>
      <c r="R767"/>
      <c r="S767"/>
      <c r="T767"/>
    </row>
    <row r="768" spans="1:20" customFormat="1" ht="18" customHeight="1" x14ac:dyDescent="0.25">
      <c r="A768" s="402"/>
      <c r="B768" s="98"/>
      <c r="C768" s="98"/>
      <c r="D768" s="98"/>
      <c r="E768" s="98"/>
      <c r="F768" s="98"/>
      <c r="G768" s="98"/>
      <c r="H768" s="98"/>
      <c r="I768" s="100"/>
      <c r="J768" s="45"/>
    </row>
    <row r="769" spans="1:19" customFormat="1" ht="18" customHeight="1" x14ac:dyDescent="0.25">
      <c r="A769" s="402"/>
      <c r="B769" s="98"/>
      <c r="C769" s="98"/>
      <c r="D769" s="98"/>
      <c r="E769" s="98"/>
      <c r="F769" s="98"/>
      <c r="G769" s="98"/>
      <c r="H769" s="98"/>
      <c r="I769" s="98"/>
    </row>
    <row r="770" spans="1:19" customFormat="1" ht="18" customHeight="1" x14ac:dyDescent="0.25">
      <c r="A770" s="166" t="s">
        <v>418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customFormat="1" ht="18" customHeight="1" x14ac:dyDescent="0.25">
      <c r="A771" s="8" t="s">
        <v>383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customFormat="1" ht="18" customHeight="1" x14ac:dyDescent="0.25">
      <c r="A772" s="8" t="s">
        <v>384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8" customHeight="1" x14ac:dyDescent="0.25">
      <c r="A773" s="8"/>
      <c r="B773"/>
      <c r="C773"/>
      <c r="D773"/>
      <c r="E773"/>
      <c r="F773"/>
      <c r="G773"/>
      <c r="H773"/>
      <c r="I773"/>
    </row>
    <row r="774" spans="1:19" ht="18" customHeight="1" x14ac:dyDescent="0.25">
      <c r="A774" s="164" t="s">
        <v>419</v>
      </c>
      <c r="B774" s="47"/>
      <c r="C774" s="47"/>
      <c r="D774" s="47"/>
      <c r="E774" s="47"/>
      <c r="F774" s="47"/>
      <c r="G774" s="47"/>
      <c r="H774" s="47"/>
    </row>
    <row r="775" spans="1:19" ht="18" customHeight="1" x14ac:dyDescent="0.25">
      <c r="A775" s="46" t="s">
        <v>385</v>
      </c>
      <c r="B775" s="47"/>
      <c r="C775" s="47"/>
      <c r="D775" s="47"/>
      <c r="E775" s="47"/>
      <c r="F775" s="47"/>
      <c r="G775" s="47"/>
      <c r="H775" s="47"/>
    </row>
    <row r="776" spans="1:19" ht="18" customHeight="1" x14ac:dyDescent="0.25">
      <c r="A776" s="46" t="s">
        <v>386</v>
      </c>
      <c r="B776" s="47"/>
      <c r="C776" s="47"/>
      <c r="D776" s="47"/>
      <c r="E776" s="47"/>
      <c r="F776" s="47"/>
      <c r="G776" s="47"/>
      <c r="H776" s="47"/>
    </row>
    <row r="777" spans="1:19" ht="18" customHeight="1" x14ac:dyDescent="0.25">
      <c r="A777" s="94" t="s">
        <v>85</v>
      </c>
      <c r="B777" s="46" t="s">
        <v>162</v>
      </c>
      <c r="C777" s="47"/>
      <c r="D777" s="47"/>
      <c r="E777" s="47"/>
      <c r="F777" s="47"/>
      <c r="G777" s="47"/>
      <c r="H777" s="47"/>
    </row>
    <row r="778" spans="1:19" ht="18" customHeight="1" x14ac:dyDescent="0.25">
      <c r="A778" s="94" t="s">
        <v>86</v>
      </c>
      <c r="B778" s="46" t="s">
        <v>95</v>
      </c>
      <c r="C778" s="47"/>
      <c r="D778" s="47"/>
    </row>
    <row r="779" spans="1:19" ht="18" customHeight="1" x14ac:dyDescent="0.25">
      <c r="A779" s="94" t="s">
        <v>87</v>
      </c>
      <c r="B779" s="46" t="s">
        <v>96</v>
      </c>
      <c r="C779" s="47"/>
      <c r="D779" s="47"/>
    </row>
    <row r="780" spans="1:19" ht="18" customHeight="1" x14ac:dyDescent="0.25">
      <c r="A780" s="94" t="s">
        <v>88</v>
      </c>
      <c r="B780" s="46" t="s">
        <v>97</v>
      </c>
      <c r="C780" s="47"/>
      <c r="D780" s="47"/>
    </row>
    <row r="781" spans="1:19" ht="18" customHeight="1" x14ac:dyDescent="0.25">
      <c r="A781" s="94" t="s">
        <v>89</v>
      </c>
      <c r="B781" s="46" t="s">
        <v>98</v>
      </c>
      <c r="C781" s="47"/>
      <c r="D781" s="47"/>
    </row>
    <row r="782" spans="1:19" ht="18" customHeight="1" x14ac:dyDescent="0.25">
      <c r="A782" s="94" t="s">
        <v>90</v>
      </c>
      <c r="B782" s="46" t="s">
        <v>99</v>
      </c>
      <c r="C782" s="47"/>
      <c r="D782" s="47"/>
      <c r="J782" s="225"/>
      <c r="K782" s="225"/>
      <c r="L782" s="225"/>
      <c r="M782" s="225"/>
      <c r="N782" s="225"/>
      <c r="O782" s="225"/>
      <c r="P782" s="225"/>
      <c r="Q782"/>
    </row>
    <row r="783" spans="1:19" ht="18" customHeight="1" x14ac:dyDescent="0.25">
      <c r="A783" s="94" t="s">
        <v>105</v>
      </c>
      <c r="B783" s="46" t="s">
        <v>100</v>
      </c>
      <c r="C783" s="47"/>
      <c r="D783" s="47"/>
      <c r="J783" s="225"/>
      <c r="K783" s="225"/>
      <c r="L783" s="225"/>
      <c r="M783" s="225"/>
      <c r="N783" s="225"/>
      <c r="O783" s="225"/>
      <c r="P783" s="225"/>
      <c r="Q783"/>
    </row>
    <row r="784" spans="1:19" ht="18" customHeight="1" x14ac:dyDescent="0.25">
      <c r="A784" s="94" t="s">
        <v>125</v>
      </c>
      <c r="B784" s="46" t="s">
        <v>136</v>
      </c>
      <c r="C784" s="47"/>
      <c r="D784" s="47"/>
      <c r="J784" s="225"/>
      <c r="K784" s="225"/>
      <c r="L784" s="225"/>
      <c r="M784" s="225"/>
      <c r="N784" s="225"/>
      <c r="Q784"/>
    </row>
    <row r="785" spans="1:24" ht="18" customHeight="1" x14ac:dyDescent="0.25">
      <c r="A785" s="94" t="s">
        <v>126</v>
      </c>
      <c r="B785" s="46" t="s">
        <v>137</v>
      </c>
      <c r="C785" s="47"/>
      <c r="D785" s="47"/>
      <c r="J785" s="225"/>
      <c r="K785" s="225"/>
      <c r="L785" s="225"/>
      <c r="M785" s="225"/>
      <c r="N785" s="225"/>
      <c r="P785" s="225"/>
    </row>
    <row r="786" spans="1:24" ht="18" customHeight="1" x14ac:dyDescent="0.25">
      <c r="A786" s="94" t="s">
        <v>91</v>
      </c>
      <c r="B786" s="46" t="s">
        <v>101</v>
      </c>
      <c r="C786" s="47"/>
      <c r="D786" s="47"/>
    </row>
    <row r="787" spans="1:24" ht="18" customHeight="1" x14ac:dyDescent="0.25">
      <c r="A787" s="94" t="s">
        <v>92</v>
      </c>
      <c r="B787" s="46" t="s">
        <v>102</v>
      </c>
      <c r="C787" s="47"/>
      <c r="D787" s="47"/>
    </row>
    <row r="788" spans="1:24" ht="18" customHeight="1" x14ac:dyDescent="0.25">
      <c r="A788" s="94" t="s">
        <v>93</v>
      </c>
      <c r="B788" s="46" t="s">
        <v>138</v>
      </c>
      <c r="C788" s="47"/>
      <c r="D788" s="47"/>
      <c r="J788" s="225"/>
      <c r="K788" s="225"/>
      <c r="L788" s="225"/>
      <c r="M788" s="225"/>
      <c r="N788" s="225"/>
      <c r="O788" s="225"/>
      <c r="P788" s="225"/>
    </row>
    <row r="789" spans="1:24" ht="18" customHeight="1" x14ac:dyDescent="0.25">
      <c r="A789" s="94" t="s">
        <v>94</v>
      </c>
      <c r="B789" s="46" t="s">
        <v>139</v>
      </c>
      <c r="C789" s="47"/>
      <c r="D789" s="47"/>
      <c r="J789" s="225"/>
      <c r="K789" s="225"/>
      <c r="L789" s="225"/>
      <c r="M789" s="225"/>
      <c r="N789" s="225"/>
      <c r="O789" s="225"/>
      <c r="P789" s="225"/>
    </row>
    <row r="790" spans="1:24" ht="15" customHeight="1" x14ac:dyDescent="0.25">
      <c r="A790" s="94" t="s">
        <v>127</v>
      </c>
      <c r="B790" s="46" t="s">
        <v>140</v>
      </c>
      <c r="C790" s="47"/>
      <c r="D790" s="47"/>
      <c r="J790" s="225"/>
      <c r="K790" s="225"/>
      <c r="L790" s="225"/>
      <c r="M790" s="225"/>
      <c r="N790" s="225"/>
      <c r="O790" s="225"/>
      <c r="P790" s="225"/>
    </row>
    <row r="791" spans="1:24" ht="15" customHeight="1" x14ac:dyDescent="0.25">
      <c r="A791" s="94" t="s">
        <v>128</v>
      </c>
      <c r="B791" s="46" t="s">
        <v>141</v>
      </c>
      <c r="C791" s="47"/>
      <c r="D791" s="47"/>
      <c r="J791" s="225"/>
      <c r="K791" s="225"/>
      <c r="L791" s="225"/>
      <c r="M791" s="225"/>
      <c r="N791" s="225"/>
      <c r="O791" s="225"/>
      <c r="P791" s="225"/>
    </row>
    <row r="792" spans="1:24" ht="15" customHeight="1" x14ac:dyDescent="0.25">
      <c r="A792" s="94" t="s">
        <v>106</v>
      </c>
      <c r="B792" s="46" t="s">
        <v>103</v>
      </c>
      <c r="C792" s="47"/>
      <c r="D792" s="47"/>
      <c r="J792" s="225"/>
      <c r="K792" s="225"/>
      <c r="L792" s="225"/>
      <c r="M792" s="225"/>
      <c r="N792" s="225"/>
      <c r="O792" s="225"/>
      <c r="P792" s="225"/>
    </row>
    <row r="793" spans="1:24" ht="15" customHeight="1" x14ac:dyDescent="0.25">
      <c r="A793" s="94" t="s">
        <v>129</v>
      </c>
      <c r="B793" s="46" t="s">
        <v>142</v>
      </c>
      <c r="C793" s="47"/>
      <c r="D793" s="47"/>
      <c r="J793" s="225"/>
      <c r="K793" s="225"/>
      <c r="L793" s="225"/>
      <c r="M793" s="225"/>
      <c r="N793" s="225"/>
      <c r="O793" s="225"/>
      <c r="P793" s="225"/>
      <c r="Q793"/>
      <c r="R793"/>
      <c r="S793"/>
      <c r="T793"/>
      <c r="U793"/>
      <c r="V793"/>
      <c r="W793"/>
      <c r="X793"/>
    </row>
    <row r="794" spans="1:24" ht="15" customHeight="1" x14ac:dyDescent="0.25">
      <c r="A794" s="94" t="s">
        <v>130</v>
      </c>
      <c r="B794" s="46" t="s">
        <v>143</v>
      </c>
      <c r="C794" s="47"/>
      <c r="D794" s="47"/>
      <c r="P794" s="225"/>
    </row>
    <row r="795" spans="1:24" ht="5.0999999999999996" customHeight="1" x14ac:dyDescent="0.25">
      <c r="A795" s="94"/>
      <c r="B795" s="46"/>
      <c r="C795" s="47"/>
      <c r="D795" s="47"/>
      <c r="P795" s="225"/>
    </row>
    <row r="796" spans="1:24" customFormat="1" ht="15" customHeight="1" x14ac:dyDescent="0.25">
      <c r="A796" s="75" t="s">
        <v>387</v>
      </c>
      <c r="B796" s="46"/>
      <c r="C796" s="47"/>
      <c r="D796" s="47"/>
      <c r="E796" s="1"/>
      <c r="F796" s="1"/>
      <c r="G796" s="1"/>
      <c r="H796" s="1"/>
      <c r="I796" s="1"/>
      <c r="J796" s="225"/>
      <c r="K796" s="225"/>
      <c r="L796" s="225"/>
      <c r="M796" s="225"/>
      <c r="N796" s="225"/>
      <c r="O796" s="225"/>
      <c r="P796" s="225"/>
      <c r="Q796" s="1"/>
      <c r="R796" s="1"/>
      <c r="S796" s="1"/>
      <c r="T796" s="1"/>
      <c r="U796" s="1"/>
      <c r="V796" s="1"/>
      <c r="W796" s="1"/>
      <c r="X796" s="1"/>
    </row>
    <row r="797" spans="1:24" ht="15" customHeight="1" x14ac:dyDescent="0.25">
      <c r="A797" s="8" t="s">
        <v>388</v>
      </c>
      <c r="B797"/>
      <c r="C797"/>
      <c r="D797"/>
      <c r="E797"/>
      <c r="F797"/>
      <c r="G797"/>
      <c r="H797"/>
      <c r="I797"/>
      <c r="P797" s="225"/>
    </row>
    <row r="798" spans="1:24" ht="5.0999999999999996" customHeight="1" x14ac:dyDescent="0.25">
      <c r="A798" s="81"/>
      <c r="B798" s="8"/>
    </row>
    <row r="799" spans="1:24" ht="15" customHeight="1" x14ac:dyDescent="0.25">
      <c r="A799" s="164" t="s">
        <v>420</v>
      </c>
    </row>
    <row r="800" spans="1:24" ht="15" customHeight="1" x14ac:dyDescent="0.25">
      <c r="A800" s="8" t="s">
        <v>385</v>
      </c>
    </row>
    <row r="801" spans="1:3" ht="15" customHeight="1" x14ac:dyDescent="0.25">
      <c r="A801" s="8" t="s">
        <v>389</v>
      </c>
    </row>
    <row r="802" spans="1:3" ht="15" customHeight="1" x14ac:dyDescent="0.25">
      <c r="A802" s="94" t="s">
        <v>104</v>
      </c>
      <c r="B802" s="46" t="s">
        <v>145</v>
      </c>
      <c r="C802" s="47"/>
    </row>
    <row r="803" spans="1:3" ht="15" customHeight="1" x14ac:dyDescent="0.25">
      <c r="A803" s="94" t="s">
        <v>114</v>
      </c>
      <c r="B803" s="46" t="s">
        <v>113</v>
      </c>
      <c r="C803" s="47"/>
    </row>
    <row r="804" spans="1:3" ht="15" customHeight="1" x14ac:dyDescent="0.25">
      <c r="A804" s="94" t="s">
        <v>115</v>
      </c>
      <c r="B804" s="46" t="s">
        <v>116</v>
      </c>
      <c r="C804" s="47"/>
    </row>
    <row r="805" spans="1:3" ht="15" customHeight="1" x14ac:dyDescent="0.25">
      <c r="A805" s="94" t="s">
        <v>107</v>
      </c>
      <c r="B805" s="46" t="s">
        <v>146</v>
      </c>
      <c r="C805" s="47"/>
    </row>
    <row r="806" spans="1:3" ht="15" customHeight="1" x14ac:dyDescent="0.25">
      <c r="A806" s="94" t="s">
        <v>108</v>
      </c>
      <c r="B806" s="46" t="s">
        <v>147</v>
      </c>
      <c r="C806" s="47"/>
    </row>
    <row r="807" spans="1:3" ht="15" customHeight="1" x14ac:dyDescent="0.25">
      <c r="A807" s="94" t="s">
        <v>118</v>
      </c>
      <c r="B807" s="46" t="s">
        <v>148</v>
      </c>
      <c r="C807" s="47"/>
    </row>
    <row r="808" spans="1:3" ht="15" customHeight="1" x14ac:dyDescent="0.25">
      <c r="A808" s="94" t="s">
        <v>117</v>
      </c>
      <c r="B808" s="46" t="s">
        <v>149</v>
      </c>
      <c r="C808" s="47"/>
    </row>
    <row r="809" spans="1:3" ht="15" customHeight="1" x14ac:dyDescent="0.25">
      <c r="A809" s="94" t="s">
        <v>109</v>
      </c>
      <c r="B809" s="46" t="s">
        <v>150</v>
      </c>
      <c r="C809" s="47"/>
    </row>
    <row r="810" spans="1:3" ht="15" customHeight="1" x14ac:dyDescent="0.25">
      <c r="A810" s="94" t="s">
        <v>110</v>
      </c>
      <c r="B810" s="46" t="s">
        <v>151</v>
      </c>
      <c r="C810" s="47"/>
    </row>
    <row r="811" spans="1:3" ht="15" customHeight="1" x14ac:dyDescent="0.25">
      <c r="A811" s="94" t="s">
        <v>123</v>
      </c>
      <c r="B811" s="46" t="s">
        <v>152</v>
      </c>
      <c r="C811" s="47"/>
    </row>
    <row r="812" spans="1:3" ht="15" customHeight="1" x14ac:dyDescent="0.25">
      <c r="A812" s="94" t="s">
        <v>124</v>
      </c>
      <c r="B812" s="46" t="s">
        <v>153</v>
      </c>
      <c r="C812" s="47"/>
    </row>
    <row r="813" spans="1:3" ht="15" customHeight="1" x14ac:dyDescent="0.25">
      <c r="A813" s="94" t="s">
        <v>154</v>
      </c>
      <c r="B813" s="46" t="s">
        <v>155</v>
      </c>
      <c r="C813" s="47"/>
    </row>
    <row r="814" spans="1:3" ht="15" customHeight="1" x14ac:dyDescent="0.25">
      <c r="A814" s="94" t="s">
        <v>156</v>
      </c>
      <c r="B814" s="46" t="s">
        <v>157</v>
      </c>
      <c r="C814" s="47"/>
    </row>
    <row r="815" spans="1:3" ht="15" customHeight="1" x14ac:dyDescent="0.25">
      <c r="A815" s="94" t="s">
        <v>158</v>
      </c>
      <c r="B815" s="46" t="s">
        <v>159</v>
      </c>
      <c r="C815" s="47"/>
    </row>
    <row r="816" spans="1:3" ht="15" customHeight="1" x14ac:dyDescent="0.25">
      <c r="A816" s="94" t="s">
        <v>111</v>
      </c>
      <c r="B816" s="46" t="s">
        <v>160</v>
      </c>
      <c r="C816" s="47"/>
    </row>
    <row r="817" spans="1:24" ht="15" customHeight="1" x14ac:dyDescent="0.25">
      <c r="A817" s="94" t="s">
        <v>112</v>
      </c>
      <c r="B817" s="46" t="s">
        <v>161</v>
      </c>
      <c r="C817" s="47"/>
    </row>
    <row r="818" spans="1:24" ht="15" customHeight="1" x14ac:dyDescent="0.25">
      <c r="A818" s="94" t="s">
        <v>119</v>
      </c>
      <c r="B818" s="46" t="s">
        <v>121</v>
      </c>
      <c r="C818" s="47"/>
    </row>
    <row r="819" spans="1:24" ht="15" customHeight="1" x14ac:dyDescent="0.25">
      <c r="A819" s="94" t="s">
        <v>120</v>
      </c>
      <c r="B819" s="46" t="s">
        <v>122</v>
      </c>
      <c r="C819" s="47"/>
    </row>
    <row r="820" spans="1:24" ht="15" customHeight="1" x14ac:dyDescent="0.25">
      <c r="A820" s="75" t="s">
        <v>390</v>
      </c>
      <c r="B820" s="46"/>
      <c r="C820" s="47"/>
    </row>
    <row r="821" spans="1:24" ht="15" customHeight="1" x14ac:dyDescent="0.25">
      <c r="A821" s="75" t="s">
        <v>391</v>
      </c>
      <c r="B821" s="46"/>
      <c r="C821" s="47"/>
    </row>
    <row r="822" spans="1:24" ht="15" customHeight="1" x14ac:dyDescent="0.25">
      <c r="A822" s="8" t="s">
        <v>388</v>
      </c>
      <c r="B822" s="46"/>
      <c r="C822" s="47"/>
    </row>
    <row r="823" spans="1:24" ht="5.0999999999999996" customHeight="1" x14ac:dyDescent="0.25">
      <c r="A823" s="75"/>
      <c r="B823" s="46"/>
      <c r="C823" s="47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</row>
    <row r="824" spans="1:24" ht="15" customHeight="1" x14ac:dyDescent="0.25">
      <c r="A824" s="32" t="s">
        <v>421</v>
      </c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</row>
    <row r="825" spans="1:24" ht="15" customHeight="1" x14ac:dyDescent="0.25">
      <c r="A825" s="8" t="s">
        <v>392</v>
      </c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</row>
    <row r="826" spans="1:24" customFormat="1" ht="15" customHeight="1" x14ac:dyDescent="0.25">
      <c r="A826" s="8" t="s">
        <v>393</v>
      </c>
      <c r="B826" s="1"/>
      <c r="C826" s="1"/>
      <c r="D826" s="1"/>
      <c r="E826" s="1"/>
      <c r="F826" s="1"/>
      <c r="G826" s="1"/>
      <c r="H826" s="1"/>
      <c r="I826" s="1"/>
    </row>
    <row r="827" spans="1:24" customFormat="1" ht="15" customHeight="1" x14ac:dyDescent="0.25">
      <c r="A827" s="8" t="s">
        <v>394</v>
      </c>
    </row>
    <row r="828" spans="1:24" customFormat="1" ht="15" customHeight="1" x14ac:dyDescent="0.25">
      <c r="A828" s="8" t="s">
        <v>395</v>
      </c>
    </row>
    <row r="829" spans="1:24" customFormat="1" ht="15" customHeight="1" x14ac:dyDescent="0.25">
      <c r="A829" s="19" t="s">
        <v>424</v>
      </c>
    </row>
    <row r="830" spans="1:24" customFormat="1" ht="15" customHeight="1" x14ac:dyDescent="0.25">
      <c r="A830" s="8" t="s">
        <v>396</v>
      </c>
    </row>
    <row r="831" spans="1:24" customFormat="1" ht="5.0999999999999996" customHeight="1" x14ac:dyDescent="0.25">
      <c r="A831" s="8"/>
    </row>
    <row r="832" spans="1:24" customFormat="1" ht="15" customHeight="1" x14ac:dyDescent="0.25">
      <c r="A832" s="32" t="s">
        <v>422</v>
      </c>
    </row>
    <row r="833" spans="1:24" customFormat="1" ht="15" customHeight="1" x14ac:dyDescent="0.25">
      <c r="A833" s="8" t="s">
        <v>397</v>
      </c>
    </row>
    <row r="834" spans="1:24" customFormat="1" ht="15" customHeight="1" x14ac:dyDescent="0.25">
      <c r="A834" s="8" t="s">
        <v>398</v>
      </c>
    </row>
    <row r="835" spans="1:24" customFormat="1" ht="15" customHeight="1" x14ac:dyDescent="0.25">
      <c r="A835" s="8" t="s">
        <v>399</v>
      </c>
    </row>
    <row r="836" spans="1:24" customFormat="1" ht="15" customHeight="1" x14ac:dyDescent="0.25">
      <c r="A836" s="8" t="s">
        <v>400</v>
      </c>
    </row>
    <row r="837" spans="1:24" customFormat="1" ht="15" customHeight="1" x14ac:dyDescent="0.25">
      <c r="A837" s="8" t="s">
        <v>401</v>
      </c>
    </row>
    <row r="838" spans="1:24" customFormat="1" ht="15" customHeight="1" x14ac:dyDescent="0.25">
      <c r="A838" s="8" t="s">
        <v>402</v>
      </c>
    </row>
    <row r="839" spans="1:24" customFormat="1" ht="15" customHeight="1" x14ac:dyDescent="0.25">
      <c r="A839" s="8" t="s">
        <v>403</v>
      </c>
    </row>
    <row r="840" spans="1:24" customFormat="1" ht="5.0999999999999996" customHeight="1" x14ac:dyDescent="0.25">
      <c r="A840" s="8"/>
    </row>
    <row r="841" spans="1:24" customFormat="1" ht="15" customHeight="1" x14ac:dyDescent="0.25">
      <c r="A841" s="32" t="s">
        <v>423</v>
      </c>
    </row>
    <row r="842" spans="1:24" customFormat="1" ht="15" customHeight="1" x14ac:dyDescent="0.25">
      <c r="A842" s="8" t="s">
        <v>404</v>
      </c>
    </row>
    <row r="843" spans="1:24" customFormat="1" ht="15" customHeight="1" x14ac:dyDescent="0.25"/>
    <row r="844" spans="1:24" customFormat="1" ht="18" customHeight="1" x14ac:dyDescent="0.25"/>
    <row r="845" spans="1:24" customFormat="1" ht="18" customHeight="1" x14ac:dyDescent="0.25"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customFormat="1" ht="18" customHeight="1" x14ac:dyDescent="0.25"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customFormat="1" ht="18" customHeight="1" x14ac:dyDescent="0.25"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8" customHeight="1" x14ac:dyDescent="0.25">
      <c r="A848"/>
      <c r="B848"/>
      <c r="C848"/>
      <c r="D848"/>
      <c r="E848"/>
      <c r="F848"/>
      <c r="G848"/>
      <c r="H848"/>
      <c r="I848"/>
    </row>
  </sheetData>
  <mergeCells count="35">
    <mergeCell ref="J229:O229"/>
    <mergeCell ref="B357:D358"/>
    <mergeCell ref="C459:H459"/>
    <mergeCell ref="D285:G285"/>
    <mergeCell ref="D286:G286"/>
    <mergeCell ref="D287:G287"/>
    <mergeCell ref="D276:G276"/>
    <mergeCell ref="D277:G277"/>
    <mergeCell ref="D278:G278"/>
    <mergeCell ref="C24:F24"/>
    <mergeCell ref="A197:H197"/>
    <mergeCell ref="F182:H182"/>
    <mergeCell ref="F183:H183"/>
    <mergeCell ref="F184:H184"/>
    <mergeCell ref="F181:H181"/>
    <mergeCell ref="A43:I43"/>
    <mergeCell ref="D101:G101"/>
    <mergeCell ref="F102:G102"/>
    <mergeCell ref="F103:G105"/>
    <mergeCell ref="G734:G735"/>
    <mergeCell ref="J734:J735"/>
    <mergeCell ref="D100:G100"/>
    <mergeCell ref="A357:A358"/>
    <mergeCell ref="A359:A360"/>
    <mergeCell ref="H658:H659"/>
    <mergeCell ref="B361:D361"/>
    <mergeCell ref="B362:D362"/>
    <mergeCell ref="A353:D355"/>
    <mergeCell ref="E357:F358"/>
    <mergeCell ref="G357:H358"/>
    <mergeCell ref="G599:H599"/>
    <mergeCell ref="A616:G616"/>
    <mergeCell ref="A620:G620"/>
    <mergeCell ref="B359:I360"/>
    <mergeCell ref="J308:K308"/>
  </mergeCells>
  <phoneticPr fontId="155" type="noConversion"/>
  <conditionalFormatting sqref="B548">
    <cfRule type="colorScale" priority="69">
      <colorScale>
        <cfvo type="min"/>
        <cfvo type="max"/>
        <color rgb="FFFF0000"/>
        <color rgb="FF92D050"/>
      </colorScale>
    </cfRule>
    <cfRule type="colorScale" priority="70">
      <colorScale>
        <cfvo type="min"/>
        <cfvo type="max"/>
        <color rgb="FFFF7128"/>
        <color rgb="FFFFEF9C"/>
      </colorScale>
    </cfRule>
  </conditionalFormatting>
  <conditionalFormatting sqref="B549">
    <cfRule type="colorScale" priority="68">
      <colorScale>
        <cfvo type="min"/>
        <cfvo type="max"/>
        <color rgb="FFFF0000"/>
        <color rgb="FF92D050"/>
      </colorScale>
    </cfRule>
  </conditionalFormatting>
  <conditionalFormatting sqref="C649:C650">
    <cfRule type="containsText" dxfId="18" priority="61" operator="containsText" text="REVISAR">
      <formula>NOT(ISERROR(SEARCH("REVISAR",C649)))</formula>
    </cfRule>
    <cfRule type="containsText" dxfId="17" priority="62" operator="containsText" text="CUMPLE">
      <formula>NOT(ISERROR(SEARCH("CUMPLE",C649)))</formula>
    </cfRule>
  </conditionalFormatting>
  <conditionalFormatting sqref="C758:D758">
    <cfRule type="containsText" dxfId="16" priority="3" operator="containsText" text="NO CONSID">
      <formula>NOT(ISERROR(SEARCH("NO CONSID",C758)))</formula>
    </cfRule>
    <cfRule type="containsText" dxfId="15" priority="4" operator="containsText" text="CONSIDERAR">
      <formula>NOT(ISERROR(SEARCH("CONSIDERAR",C758)))</formula>
    </cfRule>
  </conditionalFormatting>
  <conditionalFormatting sqref="C760:D760">
    <cfRule type="containsText" dxfId="14" priority="5" operator="containsText" text="REVISAR">
      <formula>NOT(ISERROR(SEARCH("REVISAR",C760)))</formula>
    </cfRule>
    <cfRule type="containsText" dxfId="13" priority="6" operator="containsText" text="CUMPLE">
      <formula>NOT(ISERROR(SEARCH("CUMPLE",C760)))</formula>
    </cfRule>
  </conditionalFormatting>
  <conditionalFormatting sqref="D247:F2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8:F248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9:F249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7:G278">
    <cfRule type="containsText" dxfId="12" priority="37" operator="containsText" text="ESTA">
      <formula>NOT(ISERROR(SEARCH("ESTA",D277)))</formula>
    </cfRule>
    <cfRule type="containsText" dxfId="11" priority="38" operator="containsText" text="DEBE">
      <formula>NOT(ISERROR(SEARCH("DEBE",D277)))</formula>
    </cfRule>
  </conditionalFormatting>
  <conditionalFormatting sqref="D286:G287">
    <cfRule type="containsText" dxfId="10" priority="33" operator="containsText" text="NO">
      <formula>NOT(ISERROR(SEARCH("NO",D286)))</formula>
    </cfRule>
    <cfRule type="containsText" dxfId="9" priority="34" operator="containsText" text="SI">
      <formula>NOT(ISERROR(SEARCH("SI",D286)))</formula>
    </cfRule>
  </conditionalFormatting>
  <conditionalFormatting sqref="E548:F549 A565:A566">
    <cfRule type="containsText" dxfId="8" priority="53" operator="containsText" text="USAR">
      <formula>NOT(ISERROR(SEARCH("USAR",A548)))</formula>
    </cfRule>
  </conditionalFormatting>
  <conditionalFormatting sqref="E283:I283">
    <cfRule type="containsText" dxfId="7" priority="39" operator="containsText" text="SI SE">
      <formula>NOT(ISERROR(SEARCH("SI SE",E283)))</formula>
    </cfRule>
    <cfRule type="containsText" dxfId="6" priority="40" operator="containsText" text="NO SE ">
      <formula>NOT(ISERROR(SEARCH("NO SE ",E283)))</formula>
    </cfRule>
  </conditionalFormatting>
  <conditionalFormatting sqref="F622:G645">
    <cfRule type="containsText" dxfId="5" priority="9" operator="containsText" text="OK">
      <formula>NOT(ISERROR(SEARCH("OK",F622)))</formula>
    </cfRule>
    <cfRule type="containsText" dxfId="4" priority="10" operator="containsText" text="REVISAR">
      <formula>NOT(ISERROR(SEARCH("REVISAR",F622)))</formula>
    </cfRule>
  </conditionalFormatting>
  <conditionalFormatting sqref="G736:G752 J736:J752">
    <cfRule type="cellIs" dxfId="3" priority="1" operator="greaterThan">
      <formula>0.3</formula>
    </cfRule>
    <cfRule type="cellIs" dxfId="2" priority="2" operator="greaterThan">
      <formula>0.1</formula>
    </cfRule>
  </conditionalFormatting>
  <conditionalFormatting sqref="H600:H601">
    <cfRule type="containsText" dxfId="1" priority="48" operator="containsText" text="OK">
      <formula>NOT(ISERROR(SEARCH("OK",H600)))</formula>
    </cfRule>
    <cfRule type="containsText" dxfId="0" priority="49" operator="containsText" text="REVISAR">
      <formula>NOT(ISERROR(SEARCH("REVISAR",H600)))</formula>
    </cfRule>
  </conditionalFormatting>
  <dataValidations disablePrompts="1" count="6">
    <dataValidation type="list" allowBlank="1" showInputMessage="1" showErrorMessage="1" sqref="C132" xr:uid="{00000000-0002-0000-0200-000000000000}">
      <formula1>"1aP,1bP, 2P, 3P, 4P, 5P,NP"</formula1>
    </dataValidation>
    <dataValidation type="list" allowBlank="1" showInputMessage="1" showErrorMessage="1" sqref="C137" xr:uid="{00000000-0002-0000-0200-000001000000}">
      <formula1>"1aA,1bA, 2A, 3A, 4A, 5aA, 5bA,NP"</formula1>
    </dataValidation>
    <dataValidation type="list" allowBlank="1" showInputMessage="1" showErrorMessage="1" sqref="F102" xr:uid="{00000000-0002-0000-0200-000002000000}">
      <formula1>"Especial (DES), Moderada (DMO), Minima (DMI)"</formula1>
    </dataValidation>
    <dataValidation type="list" allowBlank="1" showInputMessage="1" showErrorMessage="1" sqref="F184:H184" xr:uid="{00000000-0002-0000-0200-000003000000}">
      <formula1>"MUROS, PORTICOS, COMBINADO"</formula1>
    </dataValidation>
    <dataValidation type="list" allowBlank="1" showInputMessage="1" showErrorMessage="1" sqref="F182:H182 E386" xr:uid="{00000000-0002-0000-0200-000004000000}">
      <formula1>"SI,NO"</formula1>
    </dataValidation>
    <dataValidation type="list" allowBlank="1" showInputMessage="1" showErrorMessage="1" sqref="A197" xr:uid="{00000000-0002-0000-0200-000005000000}">
      <formula1>"Fuerza Horizontal Equivalente, Analisis Dinamico Elastico, Analisis Dinamico Inelastico, Analisis Alternos"</formula1>
    </dataValidation>
  </dataValidations>
  <printOptions horizontalCentered="1"/>
  <pageMargins left="0.78740157480314965" right="0.78740157480314965" top="0.70866141732283472" bottom="0.59055118110236227" header="0.47244094488188981" footer="0.47244094488188981"/>
  <pageSetup scale="67" fitToHeight="0" orientation="portrait" horizontalDpi="300" verticalDpi="300" r:id="rId1"/>
  <headerFooter alignWithMargins="0">
    <oddHeader>&amp;L&amp;F&amp;R&amp;A</oddHeader>
    <oddFooter xml:space="preserve">&amp;C&amp;"Arial,Cursiva"&amp;9
</oddFooter>
  </headerFooter>
  <rowBreaks count="8" manualBreakCount="8">
    <brk id="66" max="8" man="1"/>
    <brk id="128" max="8" man="1"/>
    <brk id="199" max="8" man="1"/>
    <brk id="288" max="8" man="1"/>
    <brk id="355" max="8" man="1"/>
    <brk id="418" max="8" man="1"/>
    <brk id="487" max="8" man="1"/>
    <brk id="823" max="8" man="1"/>
  </rowBreaks>
  <drawing r:id="rId2"/>
  <legacyDrawing r:id="rId3"/>
  <oleObjects>
    <mc:AlternateContent xmlns:mc="http://schemas.openxmlformats.org/markup-compatibility/2006">
      <mc:Choice Requires="x14">
        <oleObject progId="Equation.3" shapeId="5130" r:id="rId4">
          <objectPr defaultSize="0" autoPict="0" r:id="rId5">
            <anchor moveWithCells="1" sizeWithCells="1">
              <from>
                <xdr:col>0</xdr:col>
                <xdr:colOff>251460</xdr:colOff>
                <xdr:row>495</xdr:row>
                <xdr:rowOff>121920</xdr:rowOff>
              </from>
              <to>
                <xdr:col>1</xdr:col>
                <xdr:colOff>731520</xdr:colOff>
                <xdr:row>499</xdr:row>
                <xdr:rowOff>152400</xdr:rowOff>
              </to>
            </anchor>
          </objectPr>
        </oleObject>
      </mc:Choice>
      <mc:Fallback>
        <oleObject progId="Equation.3" shapeId="5130" r:id="rId4"/>
      </mc:Fallback>
    </mc:AlternateContent>
    <mc:AlternateContent xmlns:mc="http://schemas.openxmlformats.org/markup-compatibility/2006">
      <mc:Choice Requires="x14">
        <oleObject progId="Equation.3" shapeId="5282" r:id="rId6">
          <objectPr defaultSize="0" autoPict="0" r:id="rId5">
            <anchor moveWithCells="1" sizeWithCells="1">
              <from>
                <xdr:col>0</xdr:col>
                <xdr:colOff>251460</xdr:colOff>
                <xdr:row>495</xdr:row>
                <xdr:rowOff>121920</xdr:rowOff>
              </from>
              <to>
                <xdr:col>1</xdr:col>
                <xdr:colOff>731520</xdr:colOff>
                <xdr:row>499</xdr:row>
                <xdr:rowOff>152400</xdr:rowOff>
              </to>
            </anchor>
          </objectPr>
        </oleObject>
      </mc:Choice>
      <mc:Fallback>
        <oleObject progId="Equation.3" shapeId="5282" r:id="rId6"/>
      </mc:Fallback>
    </mc:AlternateContent>
    <mc:AlternateContent xmlns:mc="http://schemas.openxmlformats.org/markup-compatibility/2006">
      <mc:Choice Requires="x14">
        <oleObject progId="Equation.3" shapeId="5283" r:id="rId7">
          <objectPr defaultSize="0" autoPict="0" r:id="rId8">
            <anchor moveWithCells="1" sizeWithCells="1">
              <from>
                <xdr:col>0</xdr:col>
                <xdr:colOff>144780</xdr:colOff>
                <xdr:row>522</xdr:row>
                <xdr:rowOff>7620</xdr:rowOff>
              </from>
              <to>
                <xdr:col>1</xdr:col>
                <xdr:colOff>883920</xdr:colOff>
                <xdr:row>523</xdr:row>
                <xdr:rowOff>60960</xdr:rowOff>
              </to>
            </anchor>
          </objectPr>
        </oleObject>
      </mc:Choice>
      <mc:Fallback>
        <oleObject progId="Equation.3" shapeId="5283" r:id="rId7"/>
      </mc:Fallback>
    </mc:AlternateContent>
    <mc:AlternateContent xmlns:mc="http://schemas.openxmlformats.org/markup-compatibility/2006">
      <mc:Choice Requires="x14">
        <oleObject progId="Equation.3" shapeId="5529" r:id="rId9">
          <objectPr defaultSize="0" autoPict="0" r:id="rId10">
            <anchor moveWithCells="1" sizeWithCells="1">
              <from>
                <xdr:col>14</xdr:col>
                <xdr:colOff>213360</xdr:colOff>
                <xdr:row>8</xdr:row>
                <xdr:rowOff>83820</xdr:rowOff>
              </from>
              <to>
                <xdr:col>17</xdr:col>
                <xdr:colOff>754380</xdr:colOff>
                <xdr:row>8</xdr:row>
                <xdr:rowOff>83820</xdr:rowOff>
              </to>
            </anchor>
          </objectPr>
        </oleObject>
      </mc:Choice>
      <mc:Fallback>
        <oleObject progId="Equation.3" shapeId="5529" r:id="rId9"/>
      </mc:Fallback>
    </mc:AlternateContent>
    <mc:AlternateContent xmlns:mc="http://schemas.openxmlformats.org/markup-compatibility/2006">
      <mc:Choice Requires="x14">
        <oleObject progId="Equation.3" shapeId="5531" r:id="rId11">
          <objectPr defaultSize="0" autoPict="0" r:id="rId12">
            <anchor moveWithCells="1" sizeWithCells="1">
              <from>
                <xdr:col>0</xdr:col>
                <xdr:colOff>236220</xdr:colOff>
                <xdr:row>493</xdr:row>
                <xdr:rowOff>83820</xdr:rowOff>
              </from>
              <to>
                <xdr:col>1</xdr:col>
                <xdr:colOff>830580</xdr:colOff>
                <xdr:row>495</xdr:row>
                <xdr:rowOff>160020</xdr:rowOff>
              </to>
            </anchor>
          </objectPr>
        </oleObject>
      </mc:Choice>
      <mc:Fallback>
        <oleObject progId="Equation.3" shapeId="5531" r:id="rId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11</vt:i4>
      </vt:variant>
    </vt:vector>
  </HeadingPairs>
  <TitlesOfParts>
    <vt:vector size="15" baseType="lpstr">
      <vt:lpstr>TABLAS</vt:lpstr>
      <vt:lpstr>ESPECTRO NSR-10</vt:lpstr>
      <vt:lpstr>Análisis de Cargas</vt:lpstr>
      <vt:lpstr>Análisis</vt:lpstr>
      <vt:lpstr>Almacenamiento</vt:lpstr>
      <vt:lpstr>Análisis!Área_de_impresión</vt:lpstr>
      <vt:lpstr>Educativos</vt:lpstr>
      <vt:lpstr>Garajes</vt:lpstr>
      <vt:lpstr>hp</vt:lpstr>
      <vt:lpstr>MUNICIPIOS</vt:lpstr>
      <vt:lpstr>np</vt:lpstr>
      <vt:lpstr>Oficinas</vt:lpstr>
      <vt:lpstr>Residencial</vt:lpstr>
      <vt:lpstr>Reuniones</vt:lpstr>
      <vt:lpstr>TABLAS!SISTEMAS</vt:lpstr>
    </vt:vector>
  </TitlesOfParts>
  <Company>Calderòn y Jaramillo Ings.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Dpto. de Diseño Estructural</dc:creator>
  <cp:lastModifiedBy>Andres David Villaquiran Bueno</cp:lastModifiedBy>
  <cp:lastPrinted>2024-01-31T16:06:52Z</cp:lastPrinted>
  <dcterms:created xsi:type="dcterms:W3CDTF">2004-03-15T13:23:22Z</dcterms:created>
  <dcterms:modified xsi:type="dcterms:W3CDTF">2026-07-29T22:54:42Z</dcterms:modified>
</cp:coreProperties>
</file>